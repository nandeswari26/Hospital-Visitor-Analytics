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k\Downloads\"/>
    </mc:Choice>
  </mc:AlternateContent>
  <xr:revisionPtr revIDLastSave="0" documentId="8_{9AD94AD0-ECDE-4967-A40E-1A2DB49E28C9}" xr6:coauthVersionLast="47" xr6:coauthVersionMax="47" xr10:uidLastSave="{00000000-0000-0000-0000-000000000000}"/>
  <bookViews>
    <workbookView xWindow="-108" yWindow="-108" windowWidth="23256" windowHeight="14616" xr2:uid="{75B6E497-0744-4922-A5D6-2E19D6893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2" i="1"/>
  <c r="A3" i="1"/>
  <c r="G3" i="1" s="1"/>
  <c r="A4" i="1"/>
  <c r="G4" i="1" s="1"/>
  <c r="A5" i="1"/>
  <c r="G5" i="1" s="1"/>
  <c r="A6" i="1"/>
  <c r="G6" i="1" s="1"/>
  <c r="A7" i="1"/>
  <c r="G7" i="1" s="1"/>
  <c r="A8" i="1"/>
  <c r="G8" i="1" s="1"/>
  <c r="A9" i="1"/>
  <c r="G9" i="1" s="1"/>
  <c r="A10" i="1"/>
  <c r="G10" i="1" s="1"/>
  <c r="A11" i="1"/>
  <c r="G11" i="1" s="1"/>
  <c r="A12" i="1"/>
  <c r="G12" i="1" s="1"/>
  <c r="A13" i="1"/>
  <c r="G13" i="1" s="1"/>
  <c r="A14" i="1"/>
  <c r="G14" i="1" s="1"/>
  <c r="A15" i="1"/>
  <c r="G15" i="1" s="1"/>
  <c r="A16" i="1"/>
  <c r="G16" i="1" s="1"/>
  <c r="A17" i="1"/>
  <c r="G17" i="1" s="1"/>
  <c r="A18" i="1"/>
  <c r="G18" i="1" s="1"/>
  <c r="A19" i="1"/>
  <c r="G19" i="1" s="1"/>
  <c r="A20" i="1"/>
  <c r="G20" i="1" s="1"/>
  <c r="A21" i="1"/>
  <c r="G21" i="1" s="1"/>
  <c r="A22" i="1"/>
  <c r="G22" i="1" s="1"/>
  <c r="A23" i="1"/>
  <c r="G23" i="1" s="1"/>
  <c r="A24" i="1"/>
  <c r="G24" i="1" s="1"/>
  <c r="A25" i="1"/>
  <c r="G25" i="1" s="1"/>
  <c r="A26" i="1"/>
  <c r="G26" i="1" s="1"/>
  <c r="A27" i="1"/>
  <c r="G27" i="1" s="1"/>
  <c r="A28" i="1"/>
  <c r="G28" i="1" s="1"/>
  <c r="A29" i="1"/>
  <c r="G29" i="1" s="1"/>
  <c r="A30" i="1"/>
  <c r="G30" i="1" s="1"/>
  <c r="A31" i="1"/>
  <c r="G31" i="1" s="1"/>
  <c r="A32" i="1"/>
  <c r="G32" i="1" s="1"/>
  <c r="A33" i="1"/>
  <c r="G33" i="1" s="1"/>
  <c r="A34" i="1"/>
  <c r="G34" i="1" s="1"/>
  <c r="A35" i="1"/>
  <c r="G35" i="1" s="1"/>
  <c r="A36" i="1"/>
  <c r="G36" i="1" s="1"/>
  <c r="A37" i="1"/>
  <c r="G37" i="1" s="1"/>
  <c r="A38" i="1"/>
  <c r="G38" i="1" s="1"/>
  <c r="A39" i="1"/>
  <c r="G39" i="1" s="1"/>
  <c r="A40" i="1"/>
  <c r="G40" i="1" s="1"/>
  <c r="A41" i="1"/>
  <c r="G41" i="1" s="1"/>
  <c r="A42" i="1"/>
  <c r="G42" i="1" s="1"/>
  <c r="A43" i="1"/>
  <c r="G43" i="1" s="1"/>
  <c r="A44" i="1"/>
  <c r="G44" i="1" s="1"/>
  <c r="A45" i="1"/>
  <c r="G45" i="1" s="1"/>
  <c r="A46" i="1"/>
  <c r="G46" i="1" s="1"/>
  <c r="A47" i="1"/>
  <c r="G47" i="1" s="1"/>
  <c r="A48" i="1"/>
  <c r="G48" i="1" s="1"/>
  <c r="A49" i="1"/>
  <c r="G49" i="1" s="1"/>
  <c r="A50" i="1"/>
  <c r="G50" i="1" s="1"/>
  <c r="A51" i="1"/>
  <c r="G51" i="1" s="1"/>
  <c r="A52" i="1"/>
  <c r="G52" i="1" s="1"/>
  <c r="A53" i="1"/>
  <c r="G53" i="1" s="1"/>
  <c r="A54" i="1"/>
  <c r="G54" i="1" s="1"/>
  <c r="A55" i="1"/>
  <c r="G55" i="1" s="1"/>
  <c r="A56" i="1"/>
  <c r="G56" i="1" s="1"/>
  <c r="A57" i="1"/>
  <c r="G57" i="1" s="1"/>
  <c r="A58" i="1"/>
  <c r="G58" i="1" s="1"/>
  <c r="A59" i="1"/>
  <c r="G59" i="1" s="1"/>
  <c r="A60" i="1"/>
  <c r="G60" i="1" s="1"/>
  <c r="A61" i="1"/>
  <c r="G61" i="1" s="1"/>
  <c r="A62" i="1"/>
  <c r="G62" i="1" s="1"/>
  <c r="A63" i="1"/>
  <c r="G63" i="1" s="1"/>
  <c r="A64" i="1"/>
  <c r="G64" i="1" s="1"/>
  <c r="A65" i="1"/>
  <c r="G65" i="1" s="1"/>
  <c r="A66" i="1"/>
  <c r="G66" i="1" s="1"/>
  <c r="A67" i="1"/>
  <c r="G67" i="1" s="1"/>
  <c r="A68" i="1"/>
  <c r="G68" i="1" s="1"/>
  <c r="A69" i="1"/>
  <c r="G69" i="1" s="1"/>
  <c r="A70" i="1"/>
  <c r="G70" i="1" s="1"/>
  <c r="A71" i="1"/>
  <c r="G71" i="1" s="1"/>
  <c r="A72" i="1"/>
  <c r="G72" i="1" s="1"/>
  <c r="A73" i="1"/>
  <c r="G73" i="1" s="1"/>
  <c r="A74" i="1"/>
  <c r="G74" i="1" s="1"/>
  <c r="A75" i="1"/>
  <c r="G75" i="1" s="1"/>
  <c r="A76" i="1"/>
  <c r="G76" i="1" s="1"/>
  <c r="A77" i="1"/>
  <c r="G77" i="1" s="1"/>
  <c r="A78" i="1"/>
  <c r="G78" i="1" s="1"/>
  <c r="A79" i="1"/>
  <c r="G79" i="1" s="1"/>
  <c r="A80" i="1"/>
  <c r="G80" i="1" s="1"/>
  <c r="A81" i="1"/>
  <c r="G81" i="1" s="1"/>
  <c r="A82" i="1"/>
  <c r="G82" i="1" s="1"/>
  <c r="A83" i="1"/>
  <c r="G83" i="1" s="1"/>
  <c r="A84" i="1"/>
  <c r="G84" i="1" s="1"/>
  <c r="A85" i="1"/>
  <c r="G85" i="1" s="1"/>
  <c r="A86" i="1"/>
  <c r="G86" i="1" s="1"/>
  <c r="A87" i="1"/>
  <c r="G87" i="1" s="1"/>
  <c r="A88" i="1"/>
  <c r="G88" i="1" s="1"/>
  <c r="A89" i="1"/>
  <c r="G89" i="1" s="1"/>
  <c r="A90" i="1"/>
  <c r="G90" i="1" s="1"/>
  <c r="A91" i="1"/>
  <c r="G91" i="1" s="1"/>
  <c r="A92" i="1"/>
  <c r="G92" i="1" s="1"/>
  <c r="A93" i="1"/>
  <c r="G93" i="1" s="1"/>
  <c r="A94" i="1"/>
  <c r="G94" i="1" s="1"/>
  <c r="A95" i="1"/>
  <c r="G95" i="1" s="1"/>
  <c r="A96" i="1"/>
  <c r="G96" i="1" s="1"/>
  <c r="A97" i="1"/>
  <c r="G97" i="1" s="1"/>
  <c r="A98" i="1"/>
  <c r="G98" i="1" s="1"/>
  <c r="A99" i="1"/>
  <c r="G99" i="1" s="1"/>
  <c r="A100" i="1"/>
  <c r="G100" i="1" s="1"/>
  <c r="A101" i="1"/>
  <c r="G101" i="1" s="1"/>
  <c r="A102" i="1"/>
  <c r="G102" i="1" s="1"/>
  <c r="A103" i="1"/>
  <c r="G103" i="1" s="1"/>
  <c r="A104" i="1"/>
  <c r="G104" i="1" s="1"/>
  <c r="A105" i="1"/>
  <c r="G105" i="1" s="1"/>
  <c r="A106" i="1"/>
  <c r="G106" i="1" s="1"/>
  <c r="A107" i="1"/>
  <c r="G107" i="1" s="1"/>
  <c r="A108" i="1"/>
  <c r="G108" i="1" s="1"/>
  <c r="A109" i="1"/>
  <c r="G109" i="1" s="1"/>
  <c r="A110" i="1"/>
  <c r="G110" i="1" s="1"/>
  <c r="A111" i="1"/>
  <c r="G111" i="1" s="1"/>
  <c r="A112" i="1"/>
  <c r="G112" i="1" s="1"/>
  <c r="A113" i="1"/>
  <c r="G113" i="1" s="1"/>
  <c r="A114" i="1"/>
  <c r="G114" i="1" s="1"/>
  <c r="A115" i="1"/>
  <c r="G115" i="1" s="1"/>
  <c r="A116" i="1"/>
  <c r="G116" i="1" s="1"/>
  <c r="A117" i="1"/>
  <c r="G117" i="1" s="1"/>
  <c r="A118" i="1"/>
  <c r="G118" i="1" s="1"/>
  <c r="A119" i="1"/>
  <c r="G119" i="1" s="1"/>
  <c r="A120" i="1"/>
  <c r="G120" i="1" s="1"/>
  <c r="A121" i="1"/>
  <c r="G121" i="1" s="1"/>
  <c r="A122" i="1"/>
  <c r="G122" i="1" s="1"/>
  <c r="A123" i="1"/>
  <c r="G123" i="1" s="1"/>
  <c r="A124" i="1"/>
  <c r="G124" i="1" s="1"/>
  <c r="A125" i="1"/>
  <c r="G125" i="1" s="1"/>
  <c r="A126" i="1"/>
  <c r="G126" i="1" s="1"/>
  <c r="A127" i="1"/>
  <c r="G127" i="1" s="1"/>
  <c r="A128" i="1"/>
  <c r="G128" i="1" s="1"/>
  <c r="A129" i="1"/>
  <c r="G129" i="1" s="1"/>
  <c r="A130" i="1"/>
  <c r="G130" i="1" s="1"/>
  <c r="A131" i="1"/>
  <c r="G131" i="1" s="1"/>
  <c r="A132" i="1"/>
  <c r="G132" i="1" s="1"/>
  <c r="A133" i="1"/>
  <c r="G133" i="1" s="1"/>
  <c r="A134" i="1"/>
  <c r="G134" i="1" s="1"/>
  <c r="A135" i="1"/>
  <c r="G135" i="1" s="1"/>
  <c r="A136" i="1"/>
  <c r="G136" i="1" s="1"/>
  <c r="A137" i="1"/>
  <c r="G137" i="1" s="1"/>
  <c r="A138" i="1"/>
  <c r="G138" i="1" s="1"/>
  <c r="A139" i="1"/>
  <c r="G139" i="1" s="1"/>
  <c r="A140" i="1"/>
  <c r="G140" i="1" s="1"/>
  <c r="A141" i="1"/>
  <c r="G141" i="1" s="1"/>
  <c r="A142" i="1"/>
  <c r="G142" i="1" s="1"/>
  <c r="A143" i="1"/>
  <c r="G143" i="1" s="1"/>
  <c r="A144" i="1"/>
  <c r="G144" i="1" s="1"/>
  <c r="A145" i="1"/>
  <c r="G145" i="1" s="1"/>
  <c r="A146" i="1"/>
  <c r="G146" i="1" s="1"/>
  <c r="A147" i="1"/>
  <c r="G147" i="1" s="1"/>
  <c r="A148" i="1"/>
  <c r="G148" i="1" s="1"/>
  <c r="A149" i="1"/>
  <c r="G149" i="1" s="1"/>
  <c r="A150" i="1"/>
  <c r="G150" i="1" s="1"/>
  <c r="A151" i="1"/>
  <c r="G151" i="1" s="1"/>
  <c r="A152" i="1"/>
  <c r="G152" i="1" s="1"/>
  <c r="A153" i="1"/>
  <c r="G153" i="1" s="1"/>
  <c r="A154" i="1"/>
  <c r="G154" i="1" s="1"/>
  <c r="A155" i="1"/>
  <c r="G155" i="1" s="1"/>
  <c r="A156" i="1"/>
  <c r="G156" i="1" s="1"/>
  <c r="A157" i="1"/>
  <c r="G157" i="1" s="1"/>
  <c r="A158" i="1"/>
  <c r="G158" i="1" s="1"/>
  <c r="A159" i="1"/>
  <c r="G159" i="1" s="1"/>
  <c r="A160" i="1"/>
  <c r="G160" i="1" s="1"/>
  <c r="A161" i="1"/>
  <c r="G161" i="1" s="1"/>
  <c r="A162" i="1"/>
  <c r="G162" i="1" s="1"/>
  <c r="A163" i="1"/>
  <c r="G163" i="1" s="1"/>
  <c r="A164" i="1"/>
  <c r="G164" i="1" s="1"/>
  <c r="A165" i="1"/>
  <c r="G165" i="1" s="1"/>
  <c r="A166" i="1"/>
  <c r="G166" i="1" s="1"/>
  <c r="A167" i="1"/>
  <c r="G167" i="1" s="1"/>
  <c r="A168" i="1"/>
  <c r="G168" i="1" s="1"/>
  <c r="A169" i="1"/>
  <c r="G169" i="1" s="1"/>
  <c r="A170" i="1"/>
  <c r="G170" i="1" s="1"/>
  <c r="A171" i="1"/>
  <c r="G171" i="1" s="1"/>
  <c r="A172" i="1"/>
  <c r="G172" i="1" s="1"/>
  <c r="A173" i="1"/>
  <c r="G173" i="1" s="1"/>
  <c r="A174" i="1"/>
  <c r="G174" i="1" s="1"/>
  <c r="A175" i="1"/>
  <c r="G175" i="1" s="1"/>
  <c r="A176" i="1"/>
  <c r="G176" i="1" s="1"/>
  <c r="A177" i="1"/>
  <c r="G177" i="1" s="1"/>
  <c r="A178" i="1"/>
  <c r="G178" i="1" s="1"/>
  <c r="A179" i="1"/>
  <c r="G179" i="1" s="1"/>
  <c r="A180" i="1"/>
  <c r="G180" i="1" s="1"/>
  <c r="A181" i="1"/>
  <c r="G181" i="1" s="1"/>
  <c r="A182" i="1"/>
  <c r="G182" i="1" s="1"/>
  <c r="A183" i="1"/>
  <c r="G183" i="1" s="1"/>
  <c r="A184" i="1"/>
  <c r="G184" i="1" s="1"/>
  <c r="A185" i="1"/>
  <c r="G185" i="1" s="1"/>
  <c r="A186" i="1"/>
  <c r="G186" i="1" s="1"/>
  <c r="A187" i="1"/>
  <c r="G187" i="1" s="1"/>
  <c r="A188" i="1"/>
  <c r="G188" i="1" s="1"/>
  <c r="A189" i="1"/>
  <c r="G189" i="1" s="1"/>
  <c r="A190" i="1"/>
  <c r="G190" i="1" s="1"/>
  <c r="A191" i="1"/>
  <c r="G191" i="1" s="1"/>
  <c r="A192" i="1"/>
  <c r="G192" i="1" s="1"/>
  <c r="A193" i="1"/>
  <c r="G193" i="1" s="1"/>
  <c r="A194" i="1"/>
  <c r="G194" i="1" s="1"/>
  <c r="A195" i="1"/>
  <c r="G195" i="1" s="1"/>
  <c r="A196" i="1"/>
  <c r="G196" i="1" s="1"/>
  <c r="A197" i="1"/>
  <c r="G197" i="1" s="1"/>
  <c r="A198" i="1"/>
  <c r="G198" i="1" s="1"/>
  <c r="A199" i="1"/>
  <c r="G199" i="1" s="1"/>
  <c r="A200" i="1"/>
  <c r="G200" i="1" s="1"/>
  <c r="A201" i="1"/>
  <c r="G201" i="1" s="1"/>
  <c r="A202" i="1"/>
  <c r="G202" i="1" s="1"/>
  <c r="A203" i="1"/>
  <c r="G203" i="1" s="1"/>
  <c r="A204" i="1"/>
  <c r="G204" i="1" s="1"/>
  <c r="A205" i="1"/>
  <c r="G205" i="1" s="1"/>
  <c r="A206" i="1"/>
  <c r="G206" i="1" s="1"/>
  <c r="A207" i="1"/>
  <c r="G207" i="1" s="1"/>
  <c r="A208" i="1"/>
  <c r="G208" i="1" s="1"/>
  <c r="A209" i="1"/>
  <c r="G209" i="1" s="1"/>
  <c r="A210" i="1"/>
  <c r="G210" i="1" s="1"/>
  <c r="A211" i="1"/>
  <c r="G211" i="1" s="1"/>
  <c r="A212" i="1"/>
  <c r="G212" i="1" s="1"/>
  <c r="A213" i="1"/>
  <c r="G213" i="1" s="1"/>
  <c r="A214" i="1"/>
  <c r="G214" i="1" s="1"/>
  <c r="A215" i="1"/>
  <c r="G215" i="1" s="1"/>
  <c r="A216" i="1"/>
  <c r="G216" i="1" s="1"/>
  <c r="A217" i="1"/>
  <c r="G217" i="1" s="1"/>
  <c r="A218" i="1"/>
  <c r="G218" i="1" s="1"/>
  <c r="A219" i="1"/>
  <c r="G219" i="1" s="1"/>
  <c r="A220" i="1"/>
  <c r="G220" i="1" s="1"/>
  <c r="A221" i="1"/>
  <c r="G221" i="1" s="1"/>
  <c r="A222" i="1"/>
  <c r="G222" i="1" s="1"/>
  <c r="A223" i="1"/>
  <c r="G223" i="1" s="1"/>
  <c r="A224" i="1"/>
  <c r="G224" i="1" s="1"/>
  <c r="A225" i="1"/>
  <c r="G225" i="1" s="1"/>
  <c r="A226" i="1"/>
  <c r="G226" i="1" s="1"/>
  <c r="A227" i="1"/>
  <c r="G227" i="1" s="1"/>
  <c r="A228" i="1"/>
  <c r="G228" i="1" s="1"/>
  <c r="A229" i="1"/>
  <c r="G229" i="1" s="1"/>
  <c r="A230" i="1"/>
  <c r="G230" i="1" s="1"/>
  <c r="A231" i="1"/>
  <c r="G231" i="1" s="1"/>
  <c r="A232" i="1"/>
  <c r="G232" i="1" s="1"/>
  <c r="A233" i="1"/>
  <c r="G233" i="1" s="1"/>
  <c r="A234" i="1"/>
  <c r="G234" i="1" s="1"/>
  <c r="A235" i="1"/>
  <c r="G235" i="1" s="1"/>
  <c r="A236" i="1"/>
  <c r="G236" i="1" s="1"/>
  <c r="A237" i="1"/>
  <c r="G237" i="1" s="1"/>
  <c r="A238" i="1"/>
  <c r="G238" i="1" s="1"/>
  <c r="A239" i="1"/>
  <c r="G239" i="1" s="1"/>
  <c r="A240" i="1"/>
  <c r="G240" i="1" s="1"/>
  <c r="A241" i="1"/>
  <c r="G241" i="1" s="1"/>
  <c r="A242" i="1"/>
  <c r="G242" i="1" s="1"/>
  <c r="A243" i="1"/>
  <c r="G243" i="1" s="1"/>
  <c r="A244" i="1"/>
  <c r="G244" i="1" s="1"/>
  <c r="A245" i="1"/>
  <c r="G245" i="1" s="1"/>
  <c r="A246" i="1"/>
  <c r="G246" i="1" s="1"/>
  <c r="A247" i="1"/>
  <c r="G247" i="1" s="1"/>
  <c r="A248" i="1"/>
  <c r="G248" i="1" s="1"/>
  <c r="A249" i="1"/>
  <c r="G249" i="1" s="1"/>
  <c r="A250" i="1"/>
  <c r="G250" i="1" s="1"/>
  <c r="A251" i="1"/>
  <c r="G251" i="1" s="1"/>
  <c r="A252" i="1"/>
  <c r="G252" i="1" s="1"/>
  <c r="A253" i="1"/>
  <c r="G253" i="1" s="1"/>
  <c r="A254" i="1"/>
  <c r="G254" i="1" s="1"/>
  <c r="A255" i="1"/>
  <c r="G255" i="1" s="1"/>
  <c r="A256" i="1"/>
  <c r="G256" i="1" s="1"/>
  <c r="A257" i="1"/>
  <c r="G257" i="1" s="1"/>
  <c r="A258" i="1"/>
  <c r="G258" i="1" s="1"/>
  <c r="A259" i="1"/>
  <c r="G259" i="1" s="1"/>
  <c r="A260" i="1"/>
  <c r="G260" i="1" s="1"/>
  <c r="A261" i="1"/>
  <c r="G261" i="1" s="1"/>
  <c r="A262" i="1"/>
  <c r="G262" i="1" s="1"/>
  <c r="A263" i="1"/>
  <c r="G263" i="1" s="1"/>
  <c r="A264" i="1"/>
  <c r="G264" i="1" s="1"/>
  <c r="A265" i="1"/>
  <c r="G265" i="1" s="1"/>
  <c r="A266" i="1"/>
  <c r="G266" i="1" s="1"/>
  <c r="A267" i="1"/>
  <c r="G267" i="1" s="1"/>
  <c r="A268" i="1"/>
  <c r="G268" i="1" s="1"/>
  <c r="A269" i="1"/>
  <c r="G269" i="1" s="1"/>
  <c r="A270" i="1"/>
  <c r="G270" i="1" s="1"/>
  <c r="A271" i="1"/>
  <c r="G271" i="1" s="1"/>
  <c r="A272" i="1"/>
  <c r="G272" i="1" s="1"/>
  <c r="A273" i="1"/>
  <c r="G273" i="1" s="1"/>
  <c r="A274" i="1"/>
  <c r="G274" i="1" s="1"/>
  <c r="A275" i="1"/>
  <c r="G275" i="1" s="1"/>
  <c r="A276" i="1"/>
  <c r="G276" i="1" s="1"/>
  <c r="A277" i="1"/>
  <c r="G277" i="1" s="1"/>
  <c r="A278" i="1"/>
  <c r="G278" i="1" s="1"/>
  <c r="A279" i="1"/>
  <c r="G279" i="1" s="1"/>
  <c r="A280" i="1"/>
  <c r="G280" i="1" s="1"/>
  <c r="A281" i="1"/>
  <c r="G281" i="1" s="1"/>
  <c r="A282" i="1"/>
  <c r="G282" i="1" s="1"/>
  <c r="A283" i="1"/>
  <c r="G283" i="1" s="1"/>
  <c r="A284" i="1"/>
  <c r="G284" i="1" s="1"/>
  <c r="A285" i="1"/>
  <c r="G285" i="1" s="1"/>
  <c r="A286" i="1"/>
  <c r="G286" i="1" s="1"/>
  <c r="A287" i="1"/>
  <c r="G287" i="1" s="1"/>
  <c r="A288" i="1"/>
  <c r="G288" i="1" s="1"/>
  <c r="A289" i="1"/>
  <c r="G289" i="1" s="1"/>
  <c r="A290" i="1"/>
  <c r="G290" i="1" s="1"/>
  <c r="A291" i="1"/>
  <c r="G291" i="1" s="1"/>
  <c r="A292" i="1"/>
  <c r="G292" i="1" s="1"/>
  <c r="A293" i="1"/>
  <c r="G293" i="1" s="1"/>
  <c r="A294" i="1"/>
  <c r="G294" i="1" s="1"/>
  <c r="A295" i="1"/>
  <c r="G295" i="1" s="1"/>
  <c r="A296" i="1"/>
  <c r="G296" i="1" s="1"/>
  <c r="A297" i="1"/>
  <c r="G297" i="1" s="1"/>
  <c r="A298" i="1"/>
  <c r="G298" i="1" s="1"/>
  <c r="A299" i="1"/>
  <c r="G299" i="1" s="1"/>
  <c r="A300" i="1"/>
  <c r="G300" i="1" s="1"/>
  <c r="A301" i="1"/>
  <c r="G301" i="1" s="1"/>
  <c r="A302" i="1"/>
  <c r="G302" i="1" s="1"/>
  <c r="A303" i="1"/>
  <c r="G303" i="1" s="1"/>
  <c r="A304" i="1"/>
  <c r="G304" i="1" s="1"/>
  <c r="A305" i="1"/>
  <c r="G305" i="1" s="1"/>
  <c r="A306" i="1"/>
  <c r="G306" i="1" s="1"/>
  <c r="A307" i="1"/>
  <c r="G307" i="1" s="1"/>
  <c r="A308" i="1"/>
  <c r="G308" i="1" s="1"/>
  <c r="A309" i="1"/>
  <c r="G309" i="1" s="1"/>
  <c r="A310" i="1"/>
  <c r="G310" i="1" s="1"/>
  <c r="A311" i="1"/>
  <c r="G311" i="1" s="1"/>
  <c r="A312" i="1"/>
  <c r="G312" i="1" s="1"/>
  <c r="A313" i="1"/>
  <c r="G313" i="1" s="1"/>
  <c r="A314" i="1"/>
  <c r="G314" i="1" s="1"/>
  <c r="A315" i="1"/>
  <c r="G315" i="1" s="1"/>
  <c r="A316" i="1"/>
  <c r="G316" i="1" s="1"/>
  <c r="A317" i="1"/>
  <c r="G317" i="1" s="1"/>
  <c r="A318" i="1"/>
  <c r="G318" i="1" s="1"/>
  <c r="A319" i="1"/>
  <c r="G319" i="1" s="1"/>
  <c r="A320" i="1"/>
  <c r="G320" i="1" s="1"/>
  <c r="A321" i="1"/>
  <c r="G321" i="1" s="1"/>
  <c r="A322" i="1"/>
  <c r="G322" i="1" s="1"/>
  <c r="A323" i="1"/>
  <c r="G323" i="1" s="1"/>
  <c r="A324" i="1"/>
  <c r="G324" i="1" s="1"/>
  <c r="A325" i="1"/>
  <c r="G325" i="1" s="1"/>
  <c r="A326" i="1"/>
  <c r="G326" i="1" s="1"/>
  <c r="A327" i="1"/>
  <c r="G327" i="1" s="1"/>
  <c r="A328" i="1"/>
  <c r="G328" i="1" s="1"/>
  <c r="A329" i="1"/>
  <c r="G329" i="1" s="1"/>
  <c r="A330" i="1"/>
  <c r="G330" i="1" s="1"/>
  <c r="A331" i="1"/>
  <c r="G331" i="1" s="1"/>
  <c r="A332" i="1"/>
  <c r="G332" i="1" s="1"/>
  <c r="A333" i="1"/>
  <c r="G333" i="1" s="1"/>
  <c r="A334" i="1"/>
  <c r="G334" i="1" s="1"/>
  <c r="A335" i="1"/>
  <c r="G335" i="1" s="1"/>
  <c r="A336" i="1"/>
  <c r="G336" i="1" s="1"/>
  <c r="A337" i="1"/>
  <c r="G337" i="1" s="1"/>
  <c r="A338" i="1"/>
  <c r="G338" i="1" s="1"/>
  <c r="A339" i="1"/>
  <c r="G339" i="1" s="1"/>
  <c r="A340" i="1"/>
  <c r="G340" i="1" s="1"/>
  <c r="A341" i="1"/>
  <c r="G341" i="1" s="1"/>
  <c r="A342" i="1"/>
  <c r="G342" i="1" s="1"/>
  <c r="A343" i="1"/>
  <c r="G343" i="1" s="1"/>
  <c r="A344" i="1"/>
  <c r="G344" i="1" s="1"/>
  <c r="A345" i="1"/>
  <c r="G345" i="1" s="1"/>
  <c r="A346" i="1"/>
  <c r="G346" i="1" s="1"/>
  <c r="A347" i="1"/>
  <c r="G347" i="1" s="1"/>
  <c r="A348" i="1"/>
  <c r="G348" i="1" s="1"/>
  <c r="A349" i="1"/>
  <c r="G349" i="1" s="1"/>
  <c r="A350" i="1"/>
  <c r="G350" i="1" s="1"/>
  <c r="A351" i="1"/>
  <c r="G351" i="1" s="1"/>
  <c r="A352" i="1"/>
  <c r="G352" i="1" s="1"/>
  <c r="A353" i="1"/>
  <c r="G353" i="1" s="1"/>
  <c r="A354" i="1"/>
  <c r="G354" i="1" s="1"/>
  <c r="A355" i="1"/>
  <c r="G355" i="1" s="1"/>
  <c r="A356" i="1"/>
  <c r="G356" i="1" s="1"/>
  <c r="A357" i="1"/>
  <c r="G357" i="1" s="1"/>
  <c r="A358" i="1"/>
  <c r="G358" i="1" s="1"/>
  <c r="A359" i="1"/>
  <c r="G359" i="1" s="1"/>
  <c r="A360" i="1"/>
  <c r="G360" i="1" s="1"/>
  <c r="A361" i="1"/>
  <c r="G361" i="1" s="1"/>
  <c r="A362" i="1"/>
  <c r="G362" i="1" s="1"/>
  <c r="A363" i="1"/>
  <c r="G363" i="1" s="1"/>
  <c r="A364" i="1"/>
  <c r="G364" i="1" s="1"/>
  <c r="A365" i="1"/>
  <c r="G365" i="1" s="1"/>
  <c r="A366" i="1"/>
  <c r="G366" i="1" s="1"/>
  <c r="A367" i="1"/>
  <c r="G367" i="1" s="1"/>
  <c r="A368" i="1"/>
  <c r="G368" i="1" s="1"/>
  <c r="A369" i="1"/>
  <c r="G369" i="1" s="1"/>
  <c r="A370" i="1"/>
  <c r="G370" i="1" s="1"/>
  <c r="A371" i="1"/>
  <c r="G371" i="1" s="1"/>
  <c r="A372" i="1"/>
  <c r="G372" i="1" s="1"/>
  <c r="A373" i="1"/>
  <c r="G373" i="1" s="1"/>
  <c r="A374" i="1"/>
  <c r="G374" i="1" s="1"/>
  <c r="A375" i="1"/>
  <c r="G375" i="1" s="1"/>
  <c r="A376" i="1"/>
  <c r="G376" i="1" s="1"/>
  <c r="A377" i="1"/>
  <c r="G377" i="1" s="1"/>
  <c r="A378" i="1"/>
  <c r="G378" i="1" s="1"/>
  <c r="A379" i="1"/>
  <c r="G379" i="1" s="1"/>
  <c r="A380" i="1"/>
  <c r="G380" i="1" s="1"/>
  <c r="A381" i="1"/>
  <c r="G381" i="1" s="1"/>
  <c r="A382" i="1"/>
  <c r="G382" i="1" s="1"/>
  <c r="A383" i="1"/>
  <c r="G383" i="1" s="1"/>
  <c r="A384" i="1"/>
  <c r="G384" i="1" s="1"/>
  <c r="A385" i="1"/>
  <c r="G385" i="1" s="1"/>
  <c r="A386" i="1"/>
  <c r="G386" i="1" s="1"/>
  <c r="A387" i="1"/>
  <c r="G387" i="1" s="1"/>
  <c r="A388" i="1"/>
  <c r="G388" i="1" s="1"/>
  <c r="A389" i="1"/>
  <c r="G389" i="1" s="1"/>
  <c r="A390" i="1"/>
  <c r="G390" i="1" s="1"/>
  <c r="A391" i="1"/>
  <c r="G391" i="1" s="1"/>
  <c r="A392" i="1"/>
  <c r="G392" i="1" s="1"/>
  <c r="A393" i="1"/>
  <c r="G393" i="1" s="1"/>
  <c r="A394" i="1"/>
  <c r="G394" i="1" s="1"/>
  <c r="A395" i="1"/>
  <c r="G395" i="1" s="1"/>
  <c r="A396" i="1"/>
  <c r="G396" i="1" s="1"/>
  <c r="A397" i="1"/>
  <c r="G397" i="1" s="1"/>
  <c r="A398" i="1"/>
  <c r="G398" i="1" s="1"/>
  <c r="A399" i="1"/>
  <c r="G399" i="1" s="1"/>
  <c r="A400" i="1"/>
  <c r="G400" i="1" s="1"/>
  <c r="A401" i="1"/>
  <c r="G401" i="1" s="1"/>
  <c r="A402" i="1"/>
  <c r="G402" i="1" s="1"/>
  <c r="A403" i="1"/>
  <c r="G403" i="1" s="1"/>
  <c r="A404" i="1"/>
  <c r="G404" i="1" s="1"/>
  <c r="A405" i="1"/>
  <c r="G405" i="1" s="1"/>
  <c r="A406" i="1"/>
  <c r="G406" i="1" s="1"/>
  <c r="A407" i="1"/>
  <c r="G407" i="1" s="1"/>
  <c r="A408" i="1"/>
  <c r="G408" i="1" s="1"/>
  <c r="A409" i="1"/>
  <c r="G409" i="1" s="1"/>
  <c r="A410" i="1"/>
  <c r="G410" i="1" s="1"/>
  <c r="A411" i="1"/>
  <c r="G411" i="1" s="1"/>
  <c r="A412" i="1"/>
  <c r="G412" i="1" s="1"/>
  <c r="A413" i="1"/>
  <c r="G413" i="1" s="1"/>
  <c r="A414" i="1"/>
  <c r="G414" i="1" s="1"/>
  <c r="A415" i="1"/>
  <c r="G415" i="1" s="1"/>
  <c r="A416" i="1"/>
  <c r="G416" i="1" s="1"/>
  <c r="A417" i="1"/>
  <c r="G417" i="1" s="1"/>
  <c r="A418" i="1"/>
  <c r="G418" i="1" s="1"/>
  <c r="A419" i="1"/>
  <c r="G419" i="1" s="1"/>
  <c r="A420" i="1"/>
  <c r="G420" i="1" s="1"/>
  <c r="A421" i="1"/>
  <c r="G421" i="1" s="1"/>
  <c r="A422" i="1"/>
  <c r="G422" i="1" s="1"/>
  <c r="A423" i="1"/>
  <c r="G423" i="1" s="1"/>
  <c r="A424" i="1"/>
  <c r="G424" i="1" s="1"/>
  <c r="A425" i="1"/>
  <c r="G425" i="1" s="1"/>
  <c r="A426" i="1"/>
  <c r="G426" i="1" s="1"/>
  <c r="A427" i="1"/>
  <c r="G427" i="1" s="1"/>
  <c r="A428" i="1"/>
  <c r="G428" i="1" s="1"/>
  <c r="A429" i="1"/>
  <c r="G429" i="1" s="1"/>
  <c r="A430" i="1"/>
  <c r="G430" i="1" s="1"/>
  <c r="A431" i="1"/>
  <c r="G431" i="1" s="1"/>
  <c r="A432" i="1"/>
  <c r="G432" i="1" s="1"/>
  <c r="A433" i="1"/>
  <c r="G433" i="1" s="1"/>
  <c r="A434" i="1"/>
  <c r="G434" i="1" s="1"/>
  <c r="A435" i="1"/>
  <c r="G435" i="1" s="1"/>
  <c r="A436" i="1"/>
  <c r="G436" i="1" s="1"/>
  <c r="A437" i="1"/>
  <c r="G437" i="1" s="1"/>
  <c r="A438" i="1"/>
  <c r="G438" i="1" s="1"/>
  <c r="A439" i="1"/>
  <c r="G439" i="1" s="1"/>
  <c r="A440" i="1"/>
  <c r="G440" i="1" s="1"/>
  <c r="A441" i="1"/>
  <c r="G441" i="1" s="1"/>
  <c r="A442" i="1"/>
  <c r="G442" i="1" s="1"/>
  <c r="A443" i="1"/>
  <c r="G443" i="1" s="1"/>
  <c r="A444" i="1"/>
  <c r="G444" i="1" s="1"/>
  <c r="A445" i="1"/>
  <c r="G445" i="1" s="1"/>
  <c r="A446" i="1"/>
  <c r="G446" i="1" s="1"/>
  <c r="A447" i="1"/>
  <c r="G447" i="1" s="1"/>
  <c r="A448" i="1"/>
  <c r="G448" i="1" s="1"/>
  <c r="A449" i="1"/>
  <c r="G449" i="1" s="1"/>
  <c r="A450" i="1"/>
  <c r="G450" i="1" s="1"/>
  <c r="A451" i="1"/>
  <c r="G451" i="1" s="1"/>
  <c r="A452" i="1"/>
  <c r="G452" i="1" s="1"/>
  <c r="A453" i="1"/>
  <c r="G453" i="1" s="1"/>
  <c r="A454" i="1"/>
  <c r="G454" i="1" s="1"/>
  <c r="A455" i="1"/>
  <c r="G455" i="1" s="1"/>
  <c r="A456" i="1"/>
  <c r="G456" i="1" s="1"/>
  <c r="A457" i="1"/>
  <c r="G457" i="1" s="1"/>
  <c r="A458" i="1"/>
  <c r="G458" i="1" s="1"/>
  <c r="A459" i="1"/>
  <c r="G459" i="1" s="1"/>
  <c r="A460" i="1"/>
  <c r="G460" i="1" s="1"/>
  <c r="A461" i="1"/>
  <c r="G461" i="1" s="1"/>
  <c r="A462" i="1"/>
  <c r="G462" i="1" s="1"/>
  <c r="A463" i="1"/>
  <c r="G463" i="1" s="1"/>
  <c r="A464" i="1"/>
  <c r="G464" i="1" s="1"/>
  <c r="A465" i="1"/>
  <c r="G465" i="1" s="1"/>
  <c r="A466" i="1"/>
  <c r="G466" i="1" s="1"/>
  <c r="A467" i="1"/>
  <c r="G467" i="1" s="1"/>
  <c r="A468" i="1"/>
  <c r="G468" i="1" s="1"/>
  <c r="A469" i="1"/>
  <c r="G469" i="1" s="1"/>
  <c r="A470" i="1"/>
  <c r="G470" i="1" s="1"/>
  <c r="A471" i="1"/>
  <c r="G471" i="1" s="1"/>
  <c r="A472" i="1"/>
  <c r="G472" i="1" s="1"/>
  <c r="A473" i="1"/>
  <c r="G473" i="1" s="1"/>
  <c r="A474" i="1"/>
  <c r="G474" i="1" s="1"/>
  <c r="A475" i="1"/>
  <c r="G475" i="1" s="1"/>
  <c r="A476" i="1"/>
  <c r="G476" i="1" s="1"/>
  <c r="A477" i="1"/>
  <c r="G477" i="1" s="1"/>
  <c r="A478" i="1"/>
  <c r="G478" i="1" s="1"/>
  <c r="A479" i="1"/>
  <c r="G479" i="1" s="1"/>
  <c r="A480" i="1"/>
  <c r="G480" i="1" s="1"/>
  <c r="A481" i="1"/>
  <c r="G481" i="1" s="1"/>
  <c r="A482" i="1"/>
  <c r="G482" i="1" s="1"/>
  <c r="A483" i="1"/>
  <c r="G483" i="1" s="1"/>
  <c r="A484" i="1"/>
  <c r="G484" i="1" s="1"/>
  <c r="A485" i="1"/>
  <c r="G485" i="1" s="1"/>
  <c r="A486" i="1"/>
  <c r="G486" i="1" s="1"/>
  <c r="A487" i="1"/>
  <c r="G487" i="1" s="1"/>
  <c r="A488" i="1"/>
  <c r="G488" i="1" s="1"/>
  <c r="A489" i="1"/>
  <c r="G489" i="1" s="1"/>
  <c r="A490" i="1"/>
  <c r="G490" i="1" s="1"/>
  <c r="A491" i="1"/>
  <c r="G491" i="1" s="1"/>
  <c r="A492" i="1"/>
  <c r="G492" i="1" s="1"/>
  <c r="A493" i="1"/>
  <c r="G493" i="1" s="1"/>
  <c r="A494" i="1"/>
  <c r="G494" i="1" s="1"/>
  <c r="A495" i="1"/>
  <c r="G495" i="1" s="1"/>
  <c r="A496" i="1"/>
  <c r="G496" i="1" s="1"/>
  <c r="A497" i="1"/>
  <c r="G497" i="1" s="1"/>
  <c r="A498" i="1"/>
  <c r="G498" i="1" s="1"/>
  <c r="A499" i="1"/>
  <c r="G499" i="1" s="1"/>
  <c r="A500" i="1"/>
  <c r="G500" i="1" s="1"/>
  <c r="A501" i="1"/>
  <c r="G501" i="1" s="1"/>
  <c r="A502" i="1"/>
  <c r="G502" i="1" s="1"/>
  <c r="A503" i="1"/>
  <c r="G503" i="1" s="1"/>
  <c r="A504" i="1"/>
  <c r="G504" i="1" s="1"/>
  <c r="A2" i="1"/>
  <c r="G2" i="1" s="1"/>
</calcChain>
</file>

<file path=xl/sharedStrings.xml><?xml version="1.0" encoding="utf-8"?>
<sst xmlns="http://schemas.openxmlformats.org/spreadsheetml/2006/main" count="11" uniqueCount="11">
  <si>
    <t>Date</t>
  </si>
  <si>
    <t>Visitor ID</t>
  </si>
  <si>
    <t>Gender</t>
  </si>
  <si>
    <t>Age</t>
  </si>
  <si>
    <t>Race</t>
  </si>
  <si>
    <t>Moment</t>
  </si>
  <si>
    <t>Weekday/weekend</t>
  </si>
  <si>
    <t>Satisfaction Score</t>
  </si>
  <si>
    <t>Admin Flag</t>
  </si>
  <si>
    <t>Department Refferal</t>
  </si>
  <si>
    <t>Wait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</si>
</sst>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9AD1-7005-4B22-A5B0-974A1FC20110}">
  <dimension ref="A1:K504"/>
  <sheetViews>
    <sheetView tabSelected="1" workbookViewId="0">
      <selection activeCell="K1" sqref="K1"/>
    </sheetView>
  </sheetViews>
  <sheetFormatPr defaultRowHeight="14.4" x14ac:dyDescent="0.3"/>
  <cols>
    <col min="1" max="1" width="10.33203125" bestFit="1" customWidth="1"/>
    <col min="5" max="5" width="17.6640625" customWidth="1"/>
    <col min="6" max="6" width="10.44140625" customWidth="1"/>
    <col min="7" max="7" width="17.5546875" customWidth="1"/>
    <col min="8" max="8" width="12.44140625" customWidth="1"/>
    <col min="9" max="9" width="18.77734375" customWidth="1"/>
    <col min="10" max="10" width="18.109375" customWidth="1"/>
    <col min="11" max="11" width="17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7</v>
      </c>
      <c r="K1" t="s">
        <v>10</v>
      </c>
    </row>
    <row r="2" spans="1:11" x14ac:dyDescent="0.3">
      <c r="A2" s="1">
        <f ca="1">DATE(2023,1,1)+RANDBETWEEN(0,365)</f>
        <v>45073</v>
      </c>
      <c r="B2" t="str">
        <f>"V"&amp;TEXT(ROW(A2)-1,"0000")</f>
        <v>V0001</v>
      </c>
      <c r="C2" t="str">
        <f ca="1">IF(RAND()&gt;0.5,"Male","Female")</f>
        <v>Male</v>
      </c>
      <c r="D2">
        <f ca="1">RANDBETWEEN(1,85)</f>
        <v>31</v>
      </c>
      <c r="E2" t="str">
        <f ca="1">CHOOSE(RANDBETWEEN(1,5),"White","African American","Asian","Pacific Islander","Native American")</f>
        <v>White</v>
      </c>
      <c r="F2" t="str">
        <f ca="1">IF(RAND()&gt;0.5,"AM","PM")</f>
        <v>PM</v>
      </c>
      <c r="G2" t="str">
        <f ca="1">IF(WEEKDAY(A2,2)&lt;=5,"Weekday","Weekend")</f>
        <v>Weekend</v>
      </c>
      <c r="H2" t="str">
        <f ca="1">IF(RAND()&gt;0.5,"Patient","Non-Patient")</f>
        <v>Non-Patient</v>
      </c>
      <c r="I2" t="str">
        <f ca="1">CHOOSE(RANDBETWEEN(1,5),"General Practice","Orthopedics","Cardiology","Physiotherapy","Neurology")</f>
        <v>Cardiology</v>
      </c>
      <c r="J2">
        <f ca="1">RANDBETWEEN(1,10)</f>
        <v>6</v>
      </c>
      <c r="K2">
        <f ca="1">RANDBETWEEN(10,90)</f>
        <v>34</v>
      </c>
    </row>
    <row r="3" spans="1:11" x14ac:dyDescent="0.3">
      <c r="A3" s="1">
        <f t="shared" ref="A3:A66" ca="1" si="0">DATE(2023,1,1)+RANDBETWEEN(0,365)</f>
        <v>45184</v>
      </c>
      <c r="B3" t="str">
        <f t="shared" ref="B3:B66" si="1">"V"&amp;TEXT(ROW(A3)-1,"0000")</f>
        <v>V0002</v>
      </c>
      <c r="C3" t="str">
        <f t="shared" ref="C3:C66" ca="1" si="2">IF(RAND()&gt;0.5,"Male","Female")</f>
        <v>Female</v>
      </c>
      <c r="D3">
        <f t="shared" ref="D3:D66" ca="1" si="3">RANDBETWEEN(1,85)</f>
        <v>37</v>
      </c>
      <c r="E3" t="str">
        <f t="shared" ref="E3:E66" ca="1" si="4">CHOOSE(RANDBETWEEN(1,5),"White","African American","Asian","Pacific Islander","Native American")</f>
        <v>Native American</v>
      </c>
      <c r="F3" t="str">
        <f t="shared" ref="F3:F66" ca="1" si="5">IF(RAND()&gt;0.5,"AM","PM")</f>
        <v>PM</v>
      </c>
      <c r="G3" t="str">
        <f t="shared" ref="G3:G66" ca="1" si="6">IF(WEEKDAY(A3,2)&lt;=5,"Weekday","Weekend")</f>
        <v>Weekday</v>
      </c>
      <c r="H3" t="str">
        <f t="shared" ref="H3:H66" ca="1" si="7">IF(RAND()&gt;0.5,"Patient","Non-Patient")</f>
        <v>Patient</v>
      </c>
      <c r="I3" t="str">
        <f t="shared" ref="I3:I66" ca="1" si="8">CHOOSE(RANDBETWEEN(1,5),"General Practice","Orthopedics","Cardiology","Physiotherapy","Neurology")</f>
        <v>Cardiology</v>
      </c>
      <c r="J3">
        <f t="shared" ref="J3:J66" ca="1" si="9">RANDBETWEEN(1,10)</f>
        <v>3</v>
      </c>
      <c r="K3">
        <f t="shared" ref="K3:K66" ca="1" si="10">RANDBETWEEN(10,90)</f>
        <v>16</v>
      </c>
    </row>
    <row r="4" spans="1:11" x14ac:dyDescent="0.3">
      <c r="A4" s="1">
        <f t="shared" ca="1" si="0"/>
        <v>45172</v>
      </c>
      <c r="B4" t="str">
        <f t="shared" si="1"/>
        <v>V0003</v>
      </c>
      <c r="C4" t="str">
        <f t="shared" ca="1" si="2"/>
        <v>Female</v>
      </c>
      <c r="D4">
        <f t="shared" ca="1" si="3"/>
        <v>6</v>
      </c>
      <c r="E4" t="str">
        <f t="shared" ca="1" si="4"/>
        <v>White</v>
      </c>
      <c r="F4" t="str">
        <f t="shared" ca="1" si="5"/>
        <v>AM</v>
      </c>
      <c r="G4" t="str">
        <f t="shared" ca="1" si="6"/>
        <v>Weekend</v>
      </c>
      <c r="H4" t="str">
        <f t="shared" ca="1" si="7"/>
        <v>Patient</v>
      </c>
      <c r="I4" t="str">
        <f t="shared" ca="1" si="8"/>
        <v>Physiotherapy</v>
      </c>
      <c r="J4">
        <f t="shared" ca="1" si="9"/>
        <v>9</v>
      </c>
      <c r="K4">
        <f t="shared" ca="1" si="10"/>
        <v>55</v>
      </c>
    </row>
    <row r="5" spans="1:11" x14ac:dyDescent="0.3">
      <c r="A5" s="1">
        <f t="shared" ca="1" si="0"/>
        <v>45058</v>
      </c>
      <c r="B5" t="str">
        <f t="shared" si="1"/>
        <v>V0004</v>
      </c>
      <c r="C5" t="str">
        <f t="shared" ca="1" si="2"/>
        <v>Female</v>
      </c>
      <c r="D5">
        <f t="shared" ca="1" si="3"/>
        <v>41</v>
      </c>
      <c r="E5" t="str">
        <f t="shared" ca="1" si="4"/>
        <v>Native American</v>
      </c>
      <c r="F5" t="str">
        <f t="shared" ca="1" si="5"/>
        <v>PM</v>
      </c>
      <c r="G5" t="str">
        <f t="shared" ca="1" si="6"/>
        <v>Weekday</v>
      </c>
      <c r="H5" t="str">
        <f t="shared" ca="1" si="7"/>
        <v>Non-Patient</v>
      </c>
      <c r="I5" t="str">
        <f t="shared" ca="1" si="8"/>
        <v>Neurology</v>
      </c>
      <c r="J5">
        <f t="shared" ca="1" si="9"/>
        <v>3</v>
      </c>
      <c r="K5">
        <f t="shared" ca="1" si="10"/>
        <v>68</v>
      </c>
    </row>
    <row r="6" spans="1:11" x14ac:dyDescent="0.3">
      <c r="A6" s="1">
        <f t="shared" ca="1" si="0"/>
        <v>45241</v>
      </c>
      <c r="B6" t="str">
        <f t="shared" si="1"/>
        <v>V0005</v>
      </c>
      <c r="C6" t="str">
        <f t="shared" ca="1" si="2"/>
        <v>Female</v>
      </c>
      <c r="D6">
        <f t="shared" ca="1" si="3"/>
        <v>85</v>
      </c>
      <c r="E6" t="str">
        <f t="shared" ca="1" si="4"/>
        <v>Pacific Islander</v>
      </c>
      <c r="F6" t="str">
        <f t="shared" ca="1" si="5"/>
        <v>AM</v>
      </c>
      <c r="G6" t="str">
        <f t="shared" ca="1" si="6"/>
        <v>Weekend</v>
      </c>
      <c r="H6" t="str">
        <f t="shared" ca="1" si="7"/>
        <v>Patient</v>
      </c>
      <c r="I6" t="str">
        <f t="shared" ca="1" si="8"/>
        <v>Orthopedics</v>
      </c>
      <c r="J6">
        <f t="shared" ca="1" si="9"/>
        <v>9</v>
      </c>
      <c r="K6">
        <f t="shared" ca="1" si="10"/>
        <v>39</v>
      </c>
    </row>
    <row r="7" spans="1:11" x14ac:dyDescent="0.3">
      <c r="A7" s="1">
        <f t="shared" ca="1" si="0"/>
        <v>45081</v>
      </c>
      <c r="B7" t="str">
        <f t="shared" si="1"/>
        <v>V0006</v>
      </c>
      <c r="C7" t="str">
        <f t="shared" ca="1" si="2"/>
        <v>Male</v>
      </c>
      <c r="D7">
        <f t="shared" ca="1" si="3"/>
        <v>57</v>
      </c>
      <c r="E7" t="str">
        <f t="shared" ca="1" si="4"/>
        <v>Asian</v>
      </c>
      <c r="F7" t="str">
        <f t="shared" ca="1" si="5"/>
        <v>AM</v>
      </c>
      <c r="G7" t="str">
        <f t="shared" ca="1" si="6"/>
        <v>Weekend</v>
      </c>
      <c r="H7" t="str">
        <f t="shared" ca="1" si="7"/>
        <v>Patient</v>
      </c>
      <c r="I7" t="str">
        <f t="shared" ca="1" si="8"/>
        <v>Orthopedics</v>
      </c>
      <c r="J7">
        <f t="shared" ca="1" si="9"/>
        <v>6</v>
      </c>
      <c r="K7">
        <f t="shared" ca="1" si="10"/>
        <v>78</v>
      </c>
    </row>
    <row r="8" spans="1:11" x14ac:dyDescent="0.3">
      <c r="A8" s="1">
        <f t="shared" ca="1" si="0"/>
        <v>45162</v>
      </c>
      <c r="B8" t="str">
        <f t="shared" si="1"/>
        <v>V0007</v>
      </c>
      <c r="C8" t="str">
        <f t="shared" ca="1" si="2"/>
        <v>Male</v>
      </c>
      <c r="D8">
        <f t="shared" ca="1" si="3"/>
        <v>53</v>
      </c>
      <c r="E8" t="str">
        <f t="shared" ca="1" si="4"/>
        <v>Pacific Islander</v>
      </c>
      <c r="F8" t="str">
        <f t="shared" ca="1" si="5"/>
        <v>PM</v>
      </c>
      <c r="G8" t="str">
        <f t="shared" ca="1" si="6"/>
        <v>Weekday</v>
      </c>
      <c r="H8" t="str">
        <f t="shared" ca="1" si="7"/>
        <v>Patient</v>
      </c>
      <c r="I8" t="str">
        <f t="shared" ca="1" si="8"/>
        <v>General Practice</v>
      </c>
      <c r="J8">
        <f t="shared" ca="1" si="9"/>
        <v>2</v>
      </c>
      <c r="K8">
        <f t="shared" ca="1" si="10"/>
        <v>51</v>
      </c>
    </row>
    <row r="9" spans="1:11" x14ac:dyDescent="0.3">
      <c r="A9" s="1">
        <f t="shared" ca="1" si="0"/>
        <v>45105</v>
      </c>
      <c r="B9" t="str">
        <f t="shared" si="1"/>
        <v>V0008</v>
      </c>
      <c r="C9" t="str">
        <f t="shared" ca="1" si="2"/>
        <v>Male</v>
      </c>
      <c r="D9">
        <f t="shared" ca="1" si="3"/>
        <v>78</v>
      </c>
      <c r="E9" t="str">
        <f t="shared" ca="1" si="4"/>
        <v>Pacific Islander</v>
      </c>
      <c r="F9" t="str">
        <f t="shared" ca="1" si="5"/>
        <v>AM</v>
      </c>
      <c r="G9" t="str">
        <f t="shared" ca="1" si="6"/>
        <v>Weekday</v>
      </c>
      <c r="H9" t="str">
        <f t="shared" ca="1" si="7"/>
        <v>Patient</v>
      </c>
      <c r="I9" t="str">
        <f t="shared" ca="1" si="8"/>
        <v>Neurology</v>
      </c>
      <c r="J9">
        <f t="shared" ca="1" si="9"/>
        <v>1</v>
      </c>
      <c r="K9">
        <f t="shared" ca="1" si="10"/>
        <v>57</v>
      </c>
    </row>
    <row r="10" spans="1:11" x14ac:dyDescent="0.3">
      <c r="A10" s="1">
        <f t="shared" ca="1" si="0"/>
        <v>45158</v>
      </c>
      <c r="B10" t="str">
        <f t="shared" si="1"/>
        <v>V0009</v>
      </c>
      <c r="C10" t="str">
        <f t="shared" ca="1" si="2"/>
        <v>Male</v>
      </c>
      <c r="D10">
        <f t="shared" ca="1" si="3"/>
        <v>60</v>
      </c>
      <c r="E10" t="str">
        <f t="shared" ca="1" si="4"/>
        <v>African American</v>
      </c>
      <c r="F10" t="str">
        <f t="shared" ca="1" si="5"/>
        <v>PM</v>
      </c>
      <c r="G10" t="str">
        <f t="shared" ca="1" si="6"/>
        <v>Weekend</v>
      </c>
      <c r="H10" t="str">
        <f t="shared" ca="1" si="7"/>
        <v>Non-Patient</v>
      </c>
      <c r="I10" t="str">
        <f t="shared" ca="1" si="8"/>
        <v>General Practice</v>
      </c>
      <c r="J10">
        <f t="shared" ca="1" si="9"/>
        <v>8</v>
      </c>
      <c r="K10">
        <f t="shared" ca="1" si="10"/>
        <v>29</v>
      </c>
    </row>
    <row r="11" spans="1:11" x14ac:dyDescent="0.3">
      <c r="A11" s="1">
        <f t="shared" ca="1" si="0"/>
        <v>44999</v>
      </c>
      <c r="B11" t="str">
        <f t="shared" si="1"/>
        <v>V0010</v>
      </c>
      <c r="C11" t="str">
        <f t="shared" ca="1" si="2"/>
        <v>Female</v>
      </c>
      <c r="D11">
        <f t="shared" ca="1" si="3"/>
        <v>10</v>
      </c>
      <c r="E11" t="str">
        <f t="shared" ca="1" si="4"/>
        <v>Native American</v>
      </c>
      <c r="F11" t="str">
        <f t="shared" ca="1" si="5"/>
        <v>PM</v>
      </c>
      <c r="G11" t="str">
        <f t="shared" ca="1" si="6"/>
        <v>Weekday</v>
      </c>
      <c r="H11" t="str">
        <f t="shared" ca="1" si="7"/>
        <v>Non-Patient</v>
      </c>
      <c r="I11" t="str">
        <f t="shared" ca="1" si="8"/>
        <v>Physiotherapy</v>
      </c>
      <c r="J11">
        <f t="shared" ca="1" si="9"/>
        <v>3</v>
      </c>
      <c r="K11">
        <f t="shared" ca="1" si="10"/>
        <v>27</v>
      </c>
    </row>
    <row r="12" spans="1:11" x14ac:dyDescent="0.3">
      <c r="A12" s="1">
        <f t="shared" ca="1" si="0"/>
        <v>45106</v>
      </c>
      <c r="B12" t="str">
        <f t="shared" si="1"/>
        <v>V0011</v>
      </c>
      <c r="C12" t="str">
        <f t="shared" ca="1" si="2"/>
        <v>Male</v>
      </c>
      <c r="D12">
        <f t="shared" ca="1" si="3"/>
        <v>46</v>
      </c>
      <c r="E12" t="str">
        <f t="shared" ca="1" si="4"/>
        <v>Asian</v>
      </c>
      <c r="F12" t="str">
        <f t="shared" ca="1" si="5"/>
        <v>PM</v>
      </c>
      <c r="G12" t="str">
        <f t="shared" ca="1" si="6"/>
        <v>Weekday</v>
      </c>
      <c r="H12" t="str">
        <f t="shared" ca="1" si="7"/>
        <v>Non-Patient</v>
      </c>
      <c r="I12" t="str">
        <f t="shared" ca="1" si="8"/>
        <v>General Practice</v>
      </c>
      <c r="J12">
        <f t="shared" ca="1" si="9"/>
        <v>6</v>
      </c>
      <c r="K12">
        <f t="shared" ca="1" si="10"/>
        <v>71</v>
      </c>
    </row>
    <row r="13" spans="1:11" x14ac:dyDescent="0.3">
      <c r="A13" s="1">
        <f t="shared" ca="1" si="0"/>
        <v>45106</v>
      </c>
      <c r="B13" t="str">
        <f t="shared" si="1"/>
        <v>V0012</v>
      </c>
      <c r="C13" t="str">
        <f t="shared" ca="1" si="2"/>
        <v>Male</v>
      </c>
      <c r="D13">
        <f t="shared" ca="1" si="3"/>
        <v>34</v>
      </c>
      <c r="E13" t="str">
        <f t="shared" ca="1" si="4"/>
        <v>African American</v>
      </c>
      <c r="F13" t="str">
        <f t="shared" ca="1" si="5"/>
        <v>AM</v>
      </c>
      <c r="G13" t="str">
        <f t="shared" ca="1" si="6"/>
        <v>Weekday</v>
      </c>
      <c r="H13" t="str">
        <f t="shared" ca="1" si="7"/>
        <v>Patient</v>
      </c>
      <c r="I13" t="str">
        <f t="shared" ca="1" si="8"/>
        <v>Physiotherapy</v>
      </c>
      <c r="J13">
        <f t="shared" ca="1" si="9"/>
        <v>8</v>
      </c>
      <c r="K13">
        <f t="shared" ca="1" si="10"/>
        <v>52</v>
      </c>
    </row>
    <row r="14" spans="1:11" x14ac:dyDescent="0.3">
      <c r="A14" s="1">
        <f t="shared" ca="1" si="0"/>
        <v>45229</v>
      </c>
      <c r="B14" t="str">
        <f t="shared" si="1"/>
        <v>V0013</v>
      </c>
      <c r="C14" t="str">
        <f t="shared" ca="1" si="2"/>
        <v>Female</v>
      </c>
      <c r="D14">
        <f t="shared" ca="1" si="3"/>
        <v>79</v>
      </c>
      <c r="E14" t="str">
        <f t="shared" ca="1" si="4"/>
        <v>Asian</v>
      </c>
      <c r="F14" t="str">
        <f t="shared" ca="1" si="5"/>
        <v>PM</v>
      </c>
      <c r="G14" t="str">
        <f t="shared" ca="1" si="6"/>
        <v>Weekday</v>
      </c>
      <c r="H14" t="str">
        <f t="shared" ca="1" si="7"/>
        <v>Non-Patient</v>
      </c>
      <c r="I14" t="str">
        <f t="shared" ca="1" si="8"/>
        <v>General Practice</v>
      </c>
      <c r="J14">
        <f t="shared" ca="1" si="9"/>
        <v>8</v>
      </c>
      <c r="K14">
        <f t="shared" ca="1" si="10"/>
        <v>48</v>
      </c>
    </row>
    <row r="15" spans="1:11" x14ac:dyDescent="0.3">
      <c r="A15" s="1">
        <f t="shared" ca="1" si="0"/>
        <v>45009</v>
      </c>
      <c r="B15" t="str">
        <f t="shared" si="1"/>
        <v>V0014</v>
      </c>
      <c r="C15" t="str">
        <f t="shared" ca="1" si="2"/>
        <v>Female</v>
      </c>
      <c r="D15">
        <f t="shared" ca="1" si="3"/>
        <v>21</v>
      </c>
      <c r="E15" t="str">
        <f t="shared" ca="1" si="4"/>
        <v>African American</v>
      </c>
      <c r="F15" t="str">
        <f t="shared" ca="1" si="5"/>
        <v>PM</v>
      </c>
      <c r="G15" t="str">
        <f t="shared" ca="1" si="6"/>
        <v>Weekday</v>
      </c>
      <c r="H15" t="str">
        <f t="shared" ca="1" si="7"/>
        <v>Patient</v>
      </c>
      <c r="I15" t="str">
        <f t="shared" ca="1" si="8"/>
        <v>Physiotherapy</v>
      </c>
      <c r="J15">
        <f t="shared" ca="1" si="9"/>
        <v>4</v>
      </c>
      <c r="K15">
        <f t="shared" ca="1" si="10"/>
        <v>82</v>
      </c>
    </row>
    <row r="16" spans="1:11" x14ac:dyDescent="0.3">
      <c r="A16" s="1">
        <f t="shared" ca="1" si="0"/>
        <v>45156</v>
      </c>
      <c r="B16" t="str">
        <f t="shared" si="1"/>
        <v>V0015</v>
      </c>
      <c r="C16" t="str">
        <f t="shared" ca="1" si="2"/>
        <v>Female</v>
      </c>
      <c r="D16">
        <f t="shared" ca="1" si="3"/>
        <v>19</v>
      </c>
      <c r="E16" t="str">
        <f t="shared" ca="1" si="4"/>
        <v>Asian</v>
      </c>
      <c r="F16" t="str">
        <f t="shared" ca="1" si="5"/>
        <v>AM</v>
      </c>
      <c r="G16" t="str">
        <f t="shared" ca="1" si="6"/>
        <v>Weekday</v>
      </c>
      <c r="H16" t="str">
        <f t="shared" ca="1" si="7"/>
        <v>Patient</v>
      </c>
      <c r="I16" t="str">
        <f t="shared" ca="1" si="8"/>
        <v>Orthopedics</v>
      </c>
      <c r="J16">
        <f t="shared" ca="1" si="9"/>
        <v>2</v>
      </c>
      <c r="K16">
        <f t="shared" ca="1" si="10"/>
        <v>34</v>
      </c>
    </row>
    <row r="17" spans="1:11" x14ac:dyDescent="0.3">
      <c r="A17" s="1">
        <f t="shared" ca="1" si="0"/>
        <v>45269</v>
      </c>
      <c r="B17" t="str">
        <f t="shared" si="1"/>
        <v>V0016</v>
      </c>
      <c r="C17" t="str">
        <f t="shared" ca="1" si="2"/>
        <v>Female</v>
      </c>
      <c r="D17">
        <f t="shared" ca="1" si="3"/>
        <v>14</v>
      </c>
      <c r="E17" t="str">
        <f t="shared" ca="1" si="4"/>
        <v>Asian</v>
      </c>
      <c r="F17" t="str">
        <f t="shared" ca="1" si="5"/>
        <v>PM</v>
      </c>
      <c r="G17" t="str">
        <f t="shared" ca="1" si="6"/>
        <v>Weekend</v>
      </c>
      <c r="H17" t="str">
        <f t="shared" ca="1" si="7"/>
        <v>Non-Patient</v>
      </c>
      <c r="I17" t="str">
        <f t="shared" ca="1" si="8"/>
        <v>Physiotherapy</v>
      </c>
      <c r="J17">
        <f t="shared" ca="1" si="9"/>
        <v>10</v>
      </c>
      <c r="K17">
        <f t="shared" ca="1" si="10"/>
        <v>19</v>
      </c>
    </row>
    <row r="18" spans="1:11" x14ac:dyDescent="0.3">
      <c r="A18" s="1">
        <f t="shared" ca="1" si="0"/>
        <v>45077</v>
      </c>
      <c r="B18" t="str">
        <f t="shared" si="1"/>
        <v>V0017</v>
      </c>
      <c r="C18" t="str">
        <f t="shared" ca="1" si="2"/>
        <v>Female</v>
      </c>
      <c r="D18">
        <f t="shared" ca="1" si="3"/>
        <v>79</v>
      </c>
      <c r="E18" t="str">
        <f t="shared" ca="1" si="4"/>
        <v>Pacific Islander</v>
      </c>
      <c r="F18" t="str">
        <f t="shared" ca="1" si="5"/>
        <v>AM</v>
      </c>
      <c r="G18" t="str">
        <f t="shared" ca="1" si="6"/>
        <v>Weekday</v>
      </c>
      <c r="H18" t="str">
        <f t="shared" ca="1" si="7"/>
        <v>Patient</v>
      </c>
      <c r="I18" t="str">
        <f t="shared" ca="1" si="8"/>
        <v>Orthopedics</v>
      </c>
      <c r="J18">
        <f t="shared" ca="1" si="9"/>
        <v>7</v>
      </c>
      <c r="K18">
        <f t="shared" ca="1" si="10"/>
        <v>78</v>
      </c>
    </row>
    <row r="19" spans="1:11" x14ac:dyDescent="0.3">
      <c r="A19" s="1">
        <f t="shared" ca="1" si="0"/>
        <v>45247</v>
      </c>
      <c r="B19" t="str">
        <f t="shared" si="1"/>
        <v>V0018</v>
      </c>
      <c r="C19" t="str">
        <f t="shared" ca="1" si="2"/>
        <v>Female</v>
      </c>
      <c r="D19">
        <f t="shared" ca="1" si="3"/>
        <v>31</v>
      </c>
      <c r="E19" t="str">
        <f t="shared" ca="1" si="4"/>
        <v>Asian</v>
      </c>
      <c r="F19" t="str">
        <f t="shared" ca="1" si="5"/>
        <v>PM</v>
      </c>
      <c r="G19" t="str">
        <f t="shared" ca="1" si="6"/>
        <v>Weekday</v>
      </c>
      <c r="H19" t="str">
        <f t="shared" ca="1" si="7"/>
        <v>Non-Patient</v>
      </c>
      <c r="I19" t="str">
        <f t="shared" ca="1" si="8"/>
        <v>Neurology</v>
      </c>
      <c r="J19">
        <f t="shared" ca="1" si="9"/>
        <v>3</v>
      </c>
      <c r="K19">
        <f t="shared" ca="1" si="10"/>
        <v>75</v>
      </c>
    </row>
    <row r="20" spans="1:11" x14ac:dyDescent="0.3">
      <c r="A20" s="1">
        <f t="shared" ca="1" si="0"/>
        <v>45134</v>
      </c>
      <c r="B20" t="str">
        <f t="shared" si="1"/>
        <v>V0019</v>
      </c>
      <c r="C20" t="str">
        <f t="shared" ca="1" si="2"/>
        <v>Male</v>
      </c>
      <c r="D20">
        <f t="shared" ca="1" si="3"/>
        <v>37</v>
      </c>
      <c r="E20" t="str">
        <f t="shared" ca="1" si="4"/>
        <v>African American</v>
      </c>
      <c r="F20" t="str">
        <f t="shared" ca="1" si="5"/>
        <v>PM</v>
      </c>
      <c r="G20" t="str">
        <f t="shared" ca="1" si="6"/>
        <v>Weekday</v>
      </c>
      <c r="H20" t="str">
        <f t="shared" ca="1" si="7"/>
        <v>Non-Patient</v>
      </c>
      <c r="I20" t="str">
        <f t="shared" ca="1" si="8"/>
        <v>Orthopedics</v>
      </c>
      <c r="J20">
        <f t="shared" ca="1" si="9"/>
        <v>1</v>
      </c>
      <c r="K20">
        <f t="shared" ca="1" si="10"/>
        <v>80</v>
      </c>
    </row>
    <row r="21" spans="1:11" x14ac:dyDescent="0.3">
      <c r="A21" s="1">
        <f t="shared" ca="1" si="0"/>
        <v>45240</v>
      </c>
      <c r="B21" t="str">
        <f t="shared" si="1"/>
        <v>V0020</v>
      </c>
      <c r="C21" t="str">
        <f t="shared" ca="1" si="2"/>
        <v>Male</v>
      </c>
      <c r="D21">
        <f t="shared" ca="1" si="3"/>
        <v>12</v>
      </c>
      <c r="E21" t="str">
        <f t="shared" ca="1" si="4"/>
        <v>Native American</v>
      </c>
      <c r="F21" t="str">
        <f t="shared" ca="1" si="5"/>
        <v>PM</v>
      </c>
      <c r="G21" t="str">
        <f t="shared" ca="1" si="6"/>
        <v>Weekday</v>
      </c>
      <c r="H21" t="str">
        <f t="shared" ca="1" si="7"/>
        <v>Non-Patient</v>
      </c>
      <c r="I21" t="str">
        <f t="shared" ca="1" si="8"/>
        <v>General Practice</v>
      </c>
      <c r="J21">
        <f t="shared" ca="1" si="9"/>
        <v>4</v>
      </c>
      <c r="K21">
        <f t="shared" ca="1" si="10"/>
        <v>40</v>
      </c>
    </row>
    <row r="22" spans="1:11" x14ac:dyDescent="0.3">
      <c r="A22" s="1">
        <f t="shared" ca="1" si="0"/>
        <v>45212</v>
      </c>
      <c r="B22" t="str">
        <f t="shared" si="1"/>
        <v>V0021</v>
      </c>
      <c r="C22" t="str">
        <f t="shared" ca="1" si="2"/>
        <v>Male</v>
      </c>
      <c r="D22">
        <f t="shared" ca="1" si="3"/>
        <v>28</v>
      </c>
      <c r="E22" t="str">
        <f t="shared" ca="1" si="4"/>
        <v>Native American</v>
      </c>
      <c r="F22" t="str">
        <f t="shared" ca="1" si="5"/>
        <v>PM</v>
      </c>
      <c r="G22" t="str">
        <f t="shared" ca="1" si="6"/>
        <v>Weekday</v>
      </c>
      <c r="H22" t="str">
        <f t="shared" ca="1" si="7"/>
        <v>Non-Patient</v>
      </c>
      <c r="I22" t="str">
        <f t="shared" ca="1" si="8"/>
        <v>Cardiology</v>
      </c>
      <c r="J22">
        <f t="shared" ca="1" si="9"/>
        <v>6</v>
      </c>
      <c r="K22">
        <f t="shared" ca="1" si="10"/>
        <v>60</v>
      </c>
    </row>
    <row r="23" spans="1:11" x14ac:dyDescent="0.3">
      <c r="A23" s="1">
        <f t="shared" ca="1" si="0"/>
        <v>45253</v>
      </c>
      <c r="B23" t="str">
        <f t="shared" si="1"/>
        <v>V0022</v>
      </c>
      <c r="C23" t="str">
        <f t="shared" ca="1" si="2"/>
        <v>Female</v>
      </c>
      <c r="D23">
        <f t="shared" ca="1" si="3"/>
        <v>56</v>
      </c>
      <c r="E23" t="str">
        <f t="shared" ca="1" si="4"/>
        <v>Pacific Islander</v>
      </c>
      <c r="F23" t="str">
        <f t="shared" ca="1" si="5"/>
        <v>PM</v>
      </c>
      <c r="G23" t="str">
        <f t="shared" ca="1" si="6"/>
        <v>Weekday</v>
      </c>
      <c r="H23" t="str">
        <f t="shared" ca="1" si="7"/>
        <v>Patient</v>
      </c>
      <c r="I23" t="str">
        <f t="shared" ca="1" si="8"/>
        <v>General Practice</v>
      </c>
      <c r="J23">
        <f t="shared" ca="1" si="9"/>
        <v>9</v>
      </c>
      <c r="K23">
        <f t="shared" ca="1" si="10"/>
        <v>16</v>
      </c>
    </row>
    <row r="24" spans="1:11" x14ac:dyDescent="0.3">
      <c r="A24" s="1">
        <f t="shared" ca="1" si="0"/>
        <v>44969</v>
      </c>
      <c r="B24" t="str">
        <f t="shared" si="1"/>
        <v>V0023</v>
      </c>
      <c r="C24" t="str">
        <f t="shared" ca="1" si="2"/>
        <v>Male</v>
      </c>
      <c r="D24">
        <f t="shared" ca="1" si="3"/>
        <v>79</v>
      </c>
      <c r="E24" t="str">
        <f t="shared" ca="1" si="4"/>
        <v>African American</v>
      </c>
      <c r="F24" t="str">
        <f t="shared" ca="1" si="5"/>
        <v>PM</v>
      </c>
      <c r="G24" t="str">
        <f t="shared" ca="1" si="6"/>
        <v>Weekend</v>
      </c>
      <c r="H24" t="str">
        <f t="shared" ca="1" si="7"/>
        <v>Patient</v>
      </c>
      <c r="I24" t="str">
        <f t="shared" ca="1" si="8"/>
        <v>Physiotherapy</v>
      </c>
      <c r="J24">
        <f t="shared" ca="1" si="9"/>
        <v>9</v>
      </c>
      <c r="K24">
        <f t="shared" ca="1" si="10"/>
        <v>66</v>
      </c>
    </row>
    <row r="25" spans="1:11" x14ac:dyDescent="0.3">
      <c r="A25" s="1">
        <f t="shared" ca="1" si="0"/>
        <v>44997</v>
      </c>
      <c r="B25" t="str">
        <f t="shared" si="1"/>
        <v>V0024</v>
      </c>
      <c r="C25" t="str">
        <f t="shared" ca="1" si="2"/>
        <v>Female</v>
      </c>
      <c r="D25">
        <f t="shared" ca="1" si="3"/>
        <v>84</v>
      </c>
      <c r="E25" t="str">
        <f t="shared" ca="1" si="4"/>
        <v>Pacific Islander</v>
      </c>
      <c r="F25" t="str">
        <f t="shared" ca="1" si="5"/>
        <v>PM</v>
      </c>
      <c r="G25" t="str">
        <f t="shared" ca="1" si="6"/>
        <v>Weekend</v>
      </c>
      <c r="H25" t="str">
        <f t="shared" ca="1" si="7"/>
        <v>Patient</v>
      </c>
      <c r="I25" t="str">
        <f t="shared" ca="1" si="8"/>
        <v>Orthopedics</v>
      </c>
      <c r="J25">
        <f t="shared" ca="1" si="9"/>
        <v>5</v>
      </c>
      <c r="K25">
        <f t="shared" ca="1" si="10"/>
        <v>49</v>
      </c>
    </row>
    <row r="26" spans="1:11" x14ac:dyDescent="0.3">
      <c r="A26" s="1">
        <f t="shared" ca="1" si="0"/>
        <v>45057</v>
      </c>
      <c r="B26" t="str">
        <f t="shared" si="1"/>
        <v>V0025</v>
      </c>
      <c r="C26" t="str">
        <f t="shared" ca="1" si="2"/>
        <v>Female</v>
      </c>
      <c r="D26">
        <f t="shared" ca="1" si="3"/>
        <v>67</v>
      </c>
      <c r="E26" t="str">
        <f t="shared" ca="1" si="4"/>
        <v>Asian</v>
      </c>
      <c r="F26" t="str">
        <f t="shared" ca="1" si="5"/>
        <v>AM</v>
      </c>
      <c r="G26" t="str">
        <f t="shared" ca="1" si="6"/>
        <v>Weekday</v>
      </c>
      <c r="H26" t="str">
        <f t="shared" ca="1" si="7"/>
        <v>Patient</v>
      </c>
      <c r="I26" t="str">
        <f t="shared" ca="1" si="8"/>
        <v>Cardiology</v>
      </c>
      <c r="J26">
        <f t="shared" ca="1" si="9"/>
        <v>8</v>
      </c>
      <c r="K26">
        <f t="shared" ca="1" si="10"/>
        <v>81</v>
      </c>
    </row>
    <row r="27" spans="1:11" x14ac:dyDescent="0.3">
      <c r="A27" s="1">
        <f t="shared" ca="1" si="0"/>
        <v>44929</v>
      </c>
      <c r="B27" t="str">
        <f t="shared" si="1"/>
        <v>V0026</v>
      </c>
      <c r="C27" t="str">
        <f t="shared" ca="1" si="2"/>
        <v>Male</v>
      </c>
      <c r="D27">
        <f t="shared" ca="1" si="3"/>
        <v>1</v>
      </c>
      <c r="E27" t="str">
        <f t="shared" ca="1" si="4"/>
        <v>Native American</v>
      </c>
      <c r="F27" t="str">
        <f t="shared" ca="1" si="5"/>
        <v>AM</v>
      </c>
      <c r="G27" t="str">
        <f t="shared" ca="1" si="6"/>
        <v>Weekday</v>
      </c>
      <c r="H27" t="str">
        <f t="shared" ca="1" si="7"/>
        <v>Non-Patient</v>
      </c>
      <c r="I27" t="str">
        <f t="shared" ca="1" si="8"/>
        <v>Cardiology</v>
      </c>
      <c r="J27">
        <f t="shared" ca="1" si="9"/>
        <v>5</v>
      </c>
      <c r="K27">
        <f t="shared" ca="1" si="10"/>
        <v>32</v>
      </c>
    </row>
    <row r="28" spans="1:11" x14ac:dyDescent="0.3">
      <c r="A28" s="1">
        <f t="shared" ca="1" si="0"/>
        <v>44983</v>
      </c>
      <c r="B28" t="str">
        <f t="shared" si="1"/>
        <v>V0027</v>
      </c>
      <c r="C28" t="str">
        <f t="shared" ca="1" si="2"/>
        <v>Female</v>
      </c>
      <c r="D28">
        <f t="shared" ca="1" si="3"/>
        <v>31</v>
      </c>
      <c r="E28" t="str">
        <f t="shared" ca="1" si="4"/>
        <v>Asian</v>
      </c>
      <c r="F28" t="str">
        <f t="shared" ca="1" si="5"/>
        <v>AM</v>
      </c>
      <c r="G28" t="str">
        <f t="shared" ca="1" si="6"/>
        <v>Weekend</v>
      </c>
      <c r="H28" t="str">
        <f t="shared" ca="1" si="7"/>
        <v>Non-Patient</v>
      </c>
      <c r="I28" t="str">
        <f t="shared" ca="1" si="8"/>
        <v>Physiotherapy</v>
      </c>
      <c r="J28">
        <f t="shared" ca="1" si="9"/>
        <v>8</v>
      </c>
      <c r="K28">
        <f t="shared" ca="1" si="10"/>
        <v>36</v>
      </c>
    </row>
    <row r="29" spans="1:11" x14ac:dyDescent="0.3">
      <c r="A29" s="1">
        <f t="shared" ca="1" si="0"/>
        <v>45204</v>
      </c>
      <c r="B29" t="str">
        <f t="shared" si="1"/>
        <v>V0028</v>
      </c>
      <c r="C29" t="str">
        <f t="shared" ca="1" si="2"/>
        <v>Male</v>
      </c>
      <c r="D29">
        <f t="shared" ca="1" si="3"/>
        <v>48</v>
      </c>
      <c r="E29" t="str">
        <f t="shared" ca="1" si="4"/>
        <v>Asian</v>
      </c>
      <c r="F29" t="str">
        <f t="shared" ca="1" si="5"/>
        <v>AM</v>
      </c>
      <c r="G29" t="str">
        <f t="shared" ca="1" si="6"/>
        <v>Weekday</v>
      </c>
      <c r="H29" t="str">
        <f t="shared" ca="1" si="7"/>
        <v>Non-Patient</v>
      </c>
      <c r="I29" t="str">
        <f t="shared" ca="1" si="8"/>
        <v>Orthopedics</v>
      </c>
      <c r="J29">
        <f t="shared" ca="1" si="9"/>
        <v>10</v>
      </c>
      <c r="K29">
        <f t="shared" ca="1" si="10"/>
        <v>25</v>
      </c>
    </row>
    <row r="30" spans="1:11" x14ac:dyDescent="0.3">
      <c r="A30" s="1">
        <f t="shared" ca="1" si="0"/>
        <v>45179</v>
      </c>
      <c r="B30" t="str">
        <f t="shared" si="1"/>
        <v>V0029</v>
      </c>
      <c r="C30" t="str">
        <f t="shared" ca="1" si="2"/>
        <v>Male</v>
      </c>
      <c r="D30">
        <f t="shared" ca="1" si="3"/>
        <v>22</v>
      </c>
      <c r="E30" t="str">
        <f t="shared" ca="1" si="4"/>
        <v>Asian</v>
      </c>
      <c r="F30" t="str">
        <f t="shared" ca="1" si="5"/>
        <v>AM</v>
      </c>
      <c r="G30" t="str">
        <f t="shared" ca="1" si="6"/>
        <v>Weekend</v>
      </c>
      <c r="H30" t="str">
        <f t="shared" ca="1" si="7"/>
        <v>Non-Patient</v>
      </c>
      <c r="I30" t="str">
        <f t="shared" ca="1" si="8"/>
        <v>Neurology</v>
      </c>
      <c r="J30">
        <f t="shared" ca="1" si="9"/>
        <v>9</v>
      </c>
      <c r="K30">
        <f t="shared" ca="1" si="10"/>
        <v>56</v>
      </c>
    </row>
    <row r="31" spans="1:11" x14ac:dyDescent="0.3">
      <c r="A31" s="1">
        <f t="shared" ca="1" si="0"/>
        <v>45291</v>
      </c>
      <c r="B31" t="str">
        <f t="shared" si="1"/>
        <v>V0030</v>
      </c>
      <c r="C31" t="str">
        <f t="shared" ca="1" si="2"/>
        <v>Male</v>
      </c>
      <c r="D31">
        <f t="shared" ca="1" si="3"/>
        <v>52</v>
      </c>
      <c r="E31" t="str">
        <f t="shared" ca="1" si="4"/>
        <v>White</v>
      </c>
      <c r="F31" t="str">
        <f t="shared" ca="1" si="5"/>
        <v>PM</v>
      </c>
      <c r="G31" t="str">
        <f t="shared" ca="1" si="6"/>
        <v>Weekend</v>
      </c>
      <c r="H31" t="str">
        <f t="shared" ca="1" si="7"/>
        <v>Patient</v>
      </c>
      <c r="I31" t="str">
        <f t="shared" ca="1" si="8"/>
        <v>General Practice</v>
      </c>
      <c r="J31">
        <f t="shared" ca="1" si="9"/>
        <v>2</v>
      </c>
      <c r="K31">
        <f t="shared" ca="1" si="10"/>
        <v>51</v>
      </c>
    </row>
    <row r="32" spans="1:11" x14ac:dyDescent="0.3">
      <c r="A32" s="1">
        <f t="shared" ca="1" si="0"/>
        <v>44960</v>
      </c>
      <c r="B32" t="str">
        <f t="shared" si="1"/>
        <v>V0031</v>
      </c>
      <c r="C32" t="str">
        <f t="shared" ca="1" si="2"/>
        <v>Female</v>
      </c>
      <c r="D32">
        <f t="shared" ca="1" si="3"/>
        <v>58</v>
      </c>
      <c r="E32" t="str">
        <f t="shared" ca="1" si="4"/>
        <v>Native American</v>
      </c>
      <c r="F32" t="str">
        <f t="shared" ca="1" si="5"/>
        <v>PM</v>
      </c>
      <c r="G32" t="str">
        <f t="shared" ca="1" si="6"/>
        <v>Weekday</v>
      </c>
      <c r="H32" t="str">
        <f t="shared" ca="1" si="7"/>
        <v>Non-Patient</v>
      </c>
      <c r="I32" t="str">
        <f t="shared" ca="1" si="8"/>
        <v>Physiotherapy</v>
      </c>
      <c r="J32">
        <f t="shared" ca="1" si="9"/>
        <v>10</v>
      </c>
      <c r="K32">
        <f t="shared" ca="1" si="10"/>
        <v>23</v>
      </c>
    </row>
    <row r="33" spans="1:11" x14ac:dyDescent="0.3">
      <c r="A33" s="1">
        <f t="shared" ca="1" si="0"/>
        <v>45181</v>
      </c>
      <c r="B33" t="str">
        <f t="shared" si="1"/>
        <v>V0032</v>
      </c>
      <c r="C33" t="str">
        <f t="shared" ca="1" si="2"/>
        <v>Female</v>
      </c>
      <c r="D33">
        <f t="shared" ca="1" si="3"/>
        <v>63</v>
      </c>
      <c r="E33" t="str">
        <f t="shared" ca="1" si="4"/>
        <v>Native American</v>
      </c>
      <c r="F33" t="str">
        <f t="shared" ca="1" si="5"/>
        <v>PM</v>
      </c>
      <c r="G33" t="str">
        <f t="shared" ca="1" si="6"/>
        <v>Weekday</v>
      </c>
      <c r="H33" t="str">
        <f t="shared" ca="1" si="7"/>
        <v>Non-Patient</v>
      </c>
      <c r="I33" t="str">
        <f t="shared" ca="1" si="8"/>
        <v>Physiotherapy</v>
      </c>
      <c r="J33">
        <f t="shared" ca="1" si="9"/>
        <v>10</v>
      </c>
      <c r="K33">
        <f t="shared" ca="1" si="10"/>
        <v>25</v>
      </c>
    </row>
    <row r="34" spans="1:11" x14ac:dyDescent="0.3">
      <c r="A34" s="1">
        <f t="shared" ca="1" si="0"/>
        <v>44972</v>
      </c>
      <c r="B34" t="str">
        <f t="shared" si="1"/>
        <v>V0033</v>
      </c>
      <c r="C34" t="str">
        <f t="shared" ca="1" si="2"/>
        <v>Female</v>
      </c>
      <c r="D34">
        <f t="shared" ca="1" si="3"/>
        <v>39</v>
      </c>
      <c r="E34" t="str">
        <f t="shared" ca="1" si="4"/>
        <v>Asian</v>
      </c>
      <c r="F34" t="str">
        <f t="shared" ca="1" si="5"/>
        <v>AM</v>
      </c>
      <c r="G34" t="str">
        <f t="shared" ca="1" si="6"/>
        <v>Weekday</v>
      </c>
      <c r="H34" t="str">
        <f t="shared" ca="1" si="7"/>
        <v>Patient</v>
      </c>
      <c r="I34" t="str">
        <f t="shared" ca="1" si="8"/>
        <v>Physiotherapy</v>
      </c>
      <c r="J34">
        <f t="shared" ca="1" si="9"/>
        <v>10</v>
      </c>
      <c r="K34">
        <f t="shared" ca="1" si="10"/>
        <v>64</v>
      </c>
    </row>
    <row r="35" spans="1:11" x14ac:dyDescent="0.3">
      <c r="A35" s="1">
        <f t="shared" ca="1" si="0"/>
        <v>45032</v>
      </c>
      <c r="B35" t="str">
        <f t="shared" si="1"/>
        <v>V0034</v>
      </c>
      <c r="C35" t="str">
        <f t="shared" ca="1" si="2"/>
        <v>Female</v>
      </c>
      <c r="D35">
        <f t="shared" ca="1" si="3"/>
        <v>45</v>
      </c>
      <c r="E35" t="str">
        <f t="shared" ca="1" si="4"/>
        <v>African American</v>
      </c>
      <c r="F35" t="str">
        <f t="shared" ca="1" si="5"/>
        <v>PM</v>
      </c>
      <c r="G35" t="str">
        <f t="shared" ca="1" si="6"/>
        <v>Weekend</v>
      </c>
      <c r="H35" t="str">
        <f t="shared" ca="1" si="7"/>
        <v>Non-Patient</v>
      </c>
      <c r="I35" t="str">
        <f t="shared" ca="1" si="8"/>
        <v>General Practice</v>
      </c>
      <c r="J35">
        <f t="shared" ca="1" si="9"/>
        <v>4</v>
      </c>
      <c r="K35">
        <f t="shared" ca="1" si="10"/>
        <v>19</v>
      </c>
    </row>
    <row r="36" spans="1:11" x14ac:dyDescent="0.3">
      <c r="A36" s="1">
        <f t="shared" ca="1" si="0"/>
        <v>45124</v>
      </c>
      <c r="B36" t="str">
        <f t="shared" si="1"/>
        <v>V0035</v>
      </c>
      <c r="C36" t="str">
        <f t="shared" ca="1" si="2"/>
        <v>Male</v>
      </c>
      <c r="D36">
        <f t="shared" ca="1" si="3"/>
        <v>49</v>
      </c>
      <c r="E36" t="str">
        <f t="shared" ca="1" si="4"/>
        <v>Native American</v>
      </c>
      <c r="F36" t="str">
        <f t="shared" ca="1" si="5"/>
        <v>PM</v>
      </c>
      <c r="G36" t="str">
        <f t="shared" ca="1" si="6"/>
        <v>Weekday</v>
      </c>
      <c r="H36" t="str">
        <f t="shared" ca="1" si="7"/>
        <v>Non-Patient</v>
      </c>
      <c r="I36" t="str">
        <f t="shared" ca="1" si="8"/>
        <v>Orthopedics</v>
      </c>
      <c r="J36">
        <f t="shared" ca="1" si="9"/>
        <v>3</v>
      </c>
      <c r="K36">
        <f t="shared" ca="1" si="10"/>
        <v>37</v>
      </c>
    </row>
    <row r="37" spans="1:11" x14ac:dyDescent="0.3">
      <c r="A37" s="1">
        <f t="shared" ca="1" si="0"/>
        <v>45259</v>
      </c>
      <c r="B37" t="str">
        <f t="shared" si="1"/>
        <v>V0036</v>
      </c>
      <c r="C37" t="str">
        <f t="shared" ca="1" si="2"/>
        <v>Female</v>
      </c>
      <c r="D37">
        <f t="shared" ca="1" si="3"/>
        <v>62</v>
      </c>
      <c r="E37" t="str">
        <f t="shared" ca="1" si="4"/>
        <v>African American</v>
      </c>
      <c r="F37" t="str">
        <f t="shared" ca="1" si="5"/>
        <v>AM</v>
      </c>
      <c r="G37" t="str">
        <f t="shared" ca="1" si="6"/>
        <v>Weekday</v>
      </c>
      <c r="H37" t="str">
        <f t="shared" ca="1" si="7"/>
        <v>Non-Patient</v>
      </c>
      <c r="I37" t="str">
        <f t="shared" ca="1" si="8"/>
        <v>Physiotherapy</v>
      </c>
      <c r="J37">
        <f t="shared" ca="1" si="9"/>
        <v>7</v>
      </c>
      <c r="K37">
        <f t="shared" ca="1" si="10"/>
        <v>73</v>
      </c>
    </row>
    <row r="38" spans="1:11" x14ac:dyDescent="0.3">
      <c r="A38" s="1">
        <f t="shared" ca="1" si="0"/>
        <v>45167</v>
      </c>
      <c r="B38" t="str">
        <f t="shared" si="1"/>
        <v>V0037</v>
      </c>
      <c r="C38" t="str">
        <f t="shared" ca="1" si="2"/>
        <v>Male</v>
      </c>
      <c r="D38">
        <f t="shared" ca="1" si="3"/>
        <v>25</v>
      </c>
      <c r="E38" t="str">
        <f t="shared" ca="1" si="4"/>
        <v>African American</v>
      </c>
      <c r="F38" t="str">
        <f t="shared" ca="1" si="5"/>
        <v>AM</v>
      </c>
      <c r="G38" t="str">
        <f t="shared" ca="1" si="6"/>
        <v>Weekday</v>
      </c>
      <c r="H38" t="str">
        <f t="shared" ca="1" si="7"/>
        <v>Non-Patient</v>
      </c>
      <c r="I38" t="str">
        <f t="shared" ca="1" si="8"/>
        <v>General Practice</v>
      </c>
      <c r="J38">
        <f t="shared" ca="1" si="9"/>
        <v>1</v>
      </c>
      <c r="K38">
        <f t="shared" ca="1" si="10"/>
        <v>89</v>
      </c>
    </row>
    <row r="39" spans="1:11" x14ac:dyDescent="0.3">
      <c r="A39" s="1">
        <f t="shared" ca="1" si="0"/>
        <v>45247</v>
      </c>
      <c r="B39" t="str">
        <f t="shared" si="1"/>
        <v>V0038</v>
      </c>
      <c r="C39" t="str">
        <f t="shared" ca="1" si="2"/>
        <v>Female</v>
      </c>
      <c r="D39">
        <f t="shared" ca="1" si="3"/>
        <v>70</v>
      </c>
      <c r="E39" t="str">
        <f t="shared" ca="1" si="4"/>
        <v>Pacific Islander</v>
      </c>
      <c r="F39" t="str">
        <f t="shared" ca="1" si="5"/>
        <v>PM</v>
      </c>
      <c r="G39" t="str">
        <f t="shared" ca="1" si="6"/>
        <v>Weekday</v>
      </c>
      <c r="H39" t="str">
        <f t="shared" ca="1" si="7"/>
        <v>Patient</v>
      </c>
      <c r="I39" t="str">
        <f t="shared" ca="1" si="8"/>
        <v>Neurology</v>
      </c>
      <c r="J39">
        <f t="shared" ca="1" si="9"/>
        <v>4</v>
      </c>
      <c r="K39">
        <f t="shared" ca="1" si="10"/>
        <v>29</v>
      </c>
    </row>
    <row r="40" spans="1:11" x14ac:dyDescent="0.3">
      <c r="A40" s="1">
        <f t="shared" ca="1" si="0"/>
        <v>45114</v>
      </c>
      <c r="B40" t="str">
        <f t="shared" si="1"/>
        <v>V0039</v>
      </c>
      <c r="C40" t="str">
        <f t="shared" ca="1" si="2"/>
        <v>Male</v>
      </c>
      <c r="D40">
        <f t="shared" ca="1" si="3"/>
        <v>33</v>
      </c>
      <c r="E40" t="str">
        <f t="shared" ca="1" si="4"/>
        <v>Asian</v>
      </c>
      <c r="F40" t="str">
        <f t="shared" ca="1" si="5"/>
        <v>PM</v>
      </c>
      <c r="G40" t="str">
        <f t="shared" ca="1" si="6"/>
        <v>Weekday</v>
      </c>
      <c r="H40" t="str">
        <f t="shared" ca="1" si="7"/>
        <v>Non-Patient</v>
      </c>
      <c r="I40" t="str">
        <f t="shared" ca="1" si="8"/>
        <v>Physiotherapy</v>
      </c>
      <c r="J40">
        <f t="shared" ca="1" si="9"/>
        <v>4</v>
      </c>
      <c r="K40">
        <f t="shared" ca="1" si="10"/>
        <v>34</v>
      </c>
    </row>
    <row r="41" spans="1:11" x14ac:dyDescent="0.3">
      <c r="A41" s="1">
        <f t="shared" ca="1" si="0"/>
        <v>45035</v>
      </c>
      <c r="B41" t="str">
        <f t="shared" si="1"/>
        <v>V0040</v>
      </c>
      <c r="C41" t="str">
        <f t="shared" ca="1" si="2"/>
        <v>Female</v>
      </c>
      <c r="D41">
        <f t="shared" ca="1" si="3"/>
        <v>47</v>
      </c>
      <c r="E41" t="str">
        <f t="shared" ca="1" si="4"/>
        <v>White</v>
      </c>
      <c r="F41" t="str">
        <f t="shared" ca="1" si="5"/>
        <v>AM</v>
      </c>
      <c r="G41" t="str">
        <f t="shared" ca="1" si="6"/>
        <v>Weekday</v>
      </c>
      <c r="H41" t="str">
        <f t="shared" ca="1" si="7"/>
        <v>Patient</v>
      </c>
      <c r="I41" t="str">
        <f t="shared" ca="1" si="8"/>
        <v>General Practice</v>
      </c>
      <c r="J41">
        <f t="shared" ca="1" si="9"/>
        <v>7</v>
      </c>
      <c r="K41">
        <f t="shared" ca="1" si="10"/>
        <v>68</v>
      </c>
    </row>
    <row r="42" spans="1:11" x14ac:dyDescent="0.3">
      <c r="A42" s="1">
        <f t="shared" ca="1" si="0"/>
        <v>45225</v>
      </c>
      <c r="B42" t="str">
        <f t="shared" si="1"/>
        <v>V0041</v>
      </c>
      <c r="C42" t="str">
        <f t="shared" ca="1" si="2"/>
        <v>Male</v>
      </c>
      <c r="D42">
        <f t="shared" ca="1" si="3"/>
        <v>60</v>
      </c>
      <c r="E42" t="str">
        <f t="shared" ca="1" si="4"/>
        <v>Asian</v>
      </c>
      <c r="F42" t="str">
        <f t="shared" ca="1" si="5"/>
        <v>PM</v>
      </c>
      <c r="G42" t="str">
        <f t="shared" ca="1" si="6"/>
        <v>Weekday</v>
      </c>
      <c r="H42" t="str">
        <f t="shared" ca="1" si="7"/>
        <v>Patient</v>
      </c>
      <c r="I42" t="str">
        <f t="shared" ca="1" si="8"/>
        <v>Orthopedics</v>
      </c>
      <c r="J42">
        <f t="shared" ca="1" si="9"/>
        <v>5</v>
      </c>
      <c r="K42">
        <f t="shared" ca="1" si="10"/>
        <v>10</v>
      </c>
    </row>
    <row r="43" spans="1:11" x14ac:dyDescent="0.3">
      <c r="A43" s="1">
        <f t="shared" ca="1" si="0"/>
        <v>44984</v>
      </c>
      <c r="B43" t="str">
        <f t="shared" si="1"/>
        <v>V0042</v>
      </c>
      <c r="C43" t="str">
        <f t="shared" ca="1" si="2"/>
        <v>Female</v>
      </c>
      <c r="D43">
        <f t="shared" ca="1" si="3"/>
        <v>72</v>
      </c>
      <c r="E43" t="str">
        <f t="shared" ca="1" si="4"/>
        <v>Native American</v>
      </c>
      <c r="F43" t="str">
        <f t="shared" ca="1" si="5"/>
        <v>PM</v>
      </c>
      <c r="G43" t="str">
        <f t="shared" ca="1" si="6"/>
        <v>Weekday</v>
      </c>
      <c r="H43" t="str">
        <f t="shared" ca="1" si="7"/>
        <v>Patient</v>
      </c>
      <c r="I43" t="str">
        <f t="shared" ca="1" si="8"/>
        <v>Orthopedics</v>
      </c>
      <c r="J43">
        <f t="shared" ca="1" si="9"/>
        <v>5</v>
      </c>
      <c r="K43">
        <f t="shared" ca="1" si="10"/>
        <v>33</v>
      </c>
    </row>
    <row r="44" spans="1:11" x14ac:dyDescent="0.3">
      <c r="A44" s="1">
        <f t="shared" ca="1" si="0"/>
        <v>45061</v>
      </c>
      <c r="B44" t="str">
        <f t="shared" si="1"/>
        <v>V0043</v>
      </c>
      <c r="C44" t="str">
        <f t="shared" ca="1" si="2"/>
        <v>Male</v>
      </c>
      <c r="D44">
        <f t="shared" ca="1" si="3"/>
        <v>29</v>
      </c>
      <c r="E44" t="str">
        <f t="shared" ca="1" si="4"/>
        <v>Asian</v>
      </c>
      <c r="F44" t="str">
        <f t="shared" ca="1" si="5"/>
        <v>PM</v>
      </c>
      <c r="G44" t="str">
        <f t="shared" ca="1" si="6"/>
        <v>Weekday</v>
      </c>
      <c r="H44" t="str">
        <f t="shared" ca="1" si="7"/>
        <v>Non-Patient</v>
      </c>
      <c r="I44" t="str">
        <f t="shared" ca="1" si="8"/>
        <v>Cardiology</v>
      </c>
      <c r="J44">
        <f t="shared" ca="1" si="9"/>
        <v>1</v>
      </c>
      <c r="K44">
        <f t="shared" ca="1" si="10"/>
        <v>15</v>
      </c>
    </row>
    <row r="45" spans="1:11" x14ac:dyDescent="0.3">
      <c r="A45" s="1">
        <f t="shared" ca="1" si="0"/>
        <v>44938</v>
      </c>
      <c r="B45" t="str">
        <f t="shared" si="1"/>
        <v>V0044</v>
      </c>
      <c r="C45" t="str">
        <f t="shared" ca="1" si="2"/>
        <v>Male</v>
      </c>
      <c r="D45">
        <f t="shared" ca="1" si="3"/>
        <v>65</v>
      </c>
      <c r="E45" t="str">
        <f t="shared" ca="1" si="4"/>
        <v>White</v>
      </c>
      <c r="F45" t="str">
        <f t="shared" ca="1" si="5"/>
        <v>PM</v>
      </c>
      <c r="G45" t="str">
        <f t="shared" ca="1" si="6"/>
        <v>Weekday</v>
      </c>
      <c r="H45" t="str">
        <f t="shared" ca="1" si="7"/>
        <v>Patient</v>
      </c>
      <c r="I45" t="str">
        <f t="shared" ca="1" si="8"/>
        <v>Neurology</v>
      </c>
      <c r="J45">
        <f t="shared" ca="1" si="9"/>
        <v>3</v>
      </c>
      <c r="K45">
        <f t="shared" ca="1" si="10"/>
        <v>57</v>
      </c>
    </row>
    <row r="46" spans="1:11" x14ac:dyDescent="0.3">
      <c r="A46" s="1">
        <f t="shared" ca="1" si="0"/>
        <v>45084</v>
      </c>
      <c r="B46" t="str">
        <f t="shared" si="1"/>
        <v>V0045</v>
      </c>
      <c r="C46" t="str">
        <f t="shared" ca="1" si="2"/>
        <v>Female</v>
      </c>
      <c r="D46">
        <f t="shared" ca="1" si="3"/>
        <v>24</v>
      </c>
      <c r="E46" t="str">
        <f t="shared" ca="1" si="4"/>
        <v>White</v>
      </c>
      <c r="F46" t="str">
        <f t="shared" ca="1" si="5"/>
        <v>PM</v>
      </c>
      <c r="G46" t="str">
        <f t="shared" ca="1" si="6"/>
        <v>Weekday</v>
      </c>
      <c r="H46" t="str">
        <f t="shared" ca="1" si="7"/>
        <v>Non-Patient</v>
      </c>
      <c r="I46" t="str">
        <f t="shared" ca="1" si="8"/>
        <v>Orthopedics</v>
      </c>
      <c r="J46">
        <f t="shared" ca="1" si="9"/>
        <v>9</v>
      </c>
      <c r="K46">
        <f t="shared" ca="1" si="10"/>
        <v>55</v>
      </c>
    </row>
    <row r="47" spans="1:11" x14ac:dyDescent="0.3">
      <c r="A47" s="1">
        <f t="shared" ca="1" si="0"/>
        <v>45173</v>
      </c>
      <c r="B47" t="str">
        <f t="shared" si="1"/>
        <v>V0046</v>
      </c>
      <c r="C47" t="str">
        <f t="shared" ca="1" si="2"/>
        <v>Male</v>
      </c>
      <c r="D47">
        <f t="shared" ca="1" si="3"/>
        <v>85</v>
      </c>
      <c r="E47" t="str">
        <f t="shared" ca="1" si="4"/>
        <v>Pacific Islander</v>
      </c>
      <c r="F47" t="str">
        <f t="shared" ca="1" si="5"/>
        <v>PM</v>
      </c>
      <c r="G47" t="str">
        <f t="shared" ca="1" si="6"/>
        <v>Weekday</v>
      </c>
      <c r="H47" t="str">
        <f t="shared" ca="1" si="7"/>
        <v>Patient</v>
      </c>
      <c r="I47" t="str">
        <f t="shared" ca="1" si="8"/>
        <v>Orthopedics</v>
      </c>
      <c r="J47">
        <f t="shared" ca="1" si="9"/>
        <v>1</v>
      </c>
      <c r="K47">
        <f t="shared" ca="1" si="10"/>
        <v>22</v>
      </c>
    </row>
    <row r="48" spans="1:11" x14ac:dyDescent="0.3">
      <c r="A48" s="1">
        <f t="shared" ca="1" si="0"/>
        <v>45057</v>
      </c>
      <c r="B48" t="str">
        <f t="shared" si="1"/>
        <v>V0047</v>
      </c>
      <c r="C48" t="str">
        <f t="shared" ca="1" si="2"/>
        <v>Female</v>
      </c>
      <c r="D48">
        <f t="shared" ca="1" si="3"/>
        <v>23</v>
      </c>
      <c r="E48" t="str">
        <f t="shared" ca="1" si="4"/>
        <v>Native American</v>
      </c>
      <c r="F48" t="str">
        <f t="shared" ca="1" si="5"/>
        <v>PM</v>
      </c>
      <c r="G48" t="str">
        <f t="shared" ca="1" si="6"/>
        <v>Weekday</v>
      </c>
      <c r="H48" t="str">
        <f t="shared" ca="1" si="7"/>
        <v>Patient</v>
      </c>
      <c r="I48" t="str">
        <f t="shared" ca="1" si="8"/>
        <v>Cardiology</v>
      </c>
      <c r="J48">
        <f t="shared" ca="1" si="9"/>
        <v>10</v>
      </c>
      <c r="K48">
        <f t="shared" ca="1" si="10"/>
        <v>27</v>
      </c>
    </row>
    <row r="49" spans="1:11" x14ac:dyDescent="0.3">
      <c r="A49" s="1">
        <f t="shared" ca="1" si="0"/>
        <v>45196</v>
      </c>
      <c r="B49" t="str">
        <f t="shared" si="1"/>
        <v>V0048</v>
      </c>
      <c r="C49" t="str">
        <f t="shared" ca="1" si="2"/>
        <v>Male</v>
      </c>
      <c r="D49">
        <f t="shared" ca="1" si="3"/>
        <v>8</v>
      </c>
      <c r="E49" t="str">
        <f t="shared" ca="1" si="4"/>
        <v>Pacific Islander</v>
      </c>
      <c r="F49" t="str">
        <f t="shared" ca="1" si="5"/>
        <v>AM</v>
      </c>
      <c r="G49" t="str">
        <f t="shared" ca="1" si="6"/>
        <v>Weekday</v>
      </c>
      <c r="H49" t="str">
        <f t="shared" ca="1" si="7"/>
        <v>Patient</v>
      </c>
      <c r="I49" t="str">
        <f t="shared" ca="1" si="8"/>
        <v>Cardiology</v>
      </c>
      <c r="J49">
        <f t="shared" ca="1" si="9"/>
        <v>1</v>
      </c>
      <c r="K49">
        <f t="shared" ca="1" si="10"/>
        <v>27</v>
      </c>
    </row>
    <row r="50" spans="1:11" x14ac:dyDescent="0.3">
      <c r="A50" s="1">
        <f t="shared" ca="1" si="0"/>
        <v>45058</v>
      </c>
      <c r="B50" t="str">
        <f t="shared" si="1"/>
        <v>V0049</v>
      </c>
      <c r="C50" t="str">
        <f t="shared" ca="1" si="2"/>
        <v>Female</v>
      </c>
      <c r="D50">
        <f t="shared" ca="1" si="3"/>
        <v>49</v>
      </c>
      <c r="E50" t="str">
        <f t="shared" ca="1" si="4"/>
        <v>Asian</v>
      </c>
      <c r="F50" t="str">
        <f t="shared" ca="1" si="5"/>
        <v>AM</v>
      </c>
      <c r="G50" t="str">
        <f t="shared" ca="1" si="6"/>
        <v>Weekday</v>
      </c>
      <c r="H50" t="str">
        <f t="shared" ca="1" si="7"/>
        <v>Patient</v>
      </c>
      <c r="I50" t="str">
        <f t="shared" ca="1" si="8"/>
        <v>General Practice</v>
      </c>
      <c r="J50">
        <f t="shared" ca="1" si="9"/>
        <v>1</v>
      </c>
      <c r="K50">
        <f t="shared" ca="1" si="10"/>
        <v>85</v>
      </c>
    </row>
    <row r="51" spans="1:11" x14ac:dyDescent="0.3">
      <c r="A51" s="1">
        <f t="shared" ca="1" si="0"/>
        <v>45073</v>
      </c>
      <c r="B51" t="str">
        <f t="shared" si="1"/>
        <v>V0050</v>
      </c>
      <c r="C51" t="str">
        <f t="shared" ca="1" si="2"/>
        <v>Male</v>
      </c>
      <c r="D51">
        <f t="shared" ca="1" si="3"/>
        <v>83</v>
      </c>
      <c r="E51" t="str">
        <f t="shared" ca="1" si="4"/>
        <v>Asian</v>
      </c>
      <c r="F51" t="str">
        <f t="shared" ca="1" si="5"/>
        <v>PM</v>
      </c>
      <c r="G51" t="str">
        <f t="shared" ca="1" si="6"/>
        <v>Weekend</v>
      </c>
      <c r="H51" t="str">
        <f t="shared" ca="1" si="7"/>
        <v>Non-Patient</v>
      </c>
      <c r="I51" t="str">
        <f t="shared" ca="1" si="8"/>
        <v>Cardiology</v>
      </c>
      <c r="J51">
        <f t="shared" ca="1" si="9"/>
        <v>6</v>
      </c>
      <c r="K51">
        <f t="shared" ca="1" si="10"/>
        <v>42</v>
      </c>
    </row>
    <row r="52" spans="1:11" x14ac:dyDescent="0.3">
      <c r="A52" s="1">
        <f t="shared" ca="1" si="0"/>
        <v>44965</v>
      </c>
      <c r="B52" t="str">
        <f t="shared" si="1"/>
        <v>V0051</v>
      </c>
      <c r="C52" t="str">
        <f t="shared" ca="1" si="2"/>
        <v>Female</v>
      </c>
      <c r="D52">
        <f t="shared" ca="1" si="3"/>
        <v>12</v>
      </c>
      <c r="E52" t="str">
        <f t="shared" ca="1" si="4"/>
        <v>Native American</v>
      </c>
      <c r="F52" t="str">
        <f t="shared" ca="1" si="5"/>
        <v>AM</v>
      </c>
      <c r="G52" t="str">
        <f t="shared" ca="1" si="6"/>
        <v>Weekday</v>
      </c>
      <c r="H52" t="str">
        <f t="shared" ca="1" si="7"/>
        <v>Non-Patient</v>
      </c>
      <c r="I52" t="str">
        <f t="shared" ca="1" si="8"/>
        <v>Physiotherapy</v>
      </c>
      <c r="J52">
        <f t="shared" ca="1" si="9"/>
        <v>6</v>
      </c>
      <c r="K52">
        <f t="shared" ca="1" si="10"/>
        <v>37</v>
      </c>
    </row>
    <row r="53" spans="1:11" x14ac:dyDescent="0.3">
      <c r="A53" s="1">
        <f t="shared" ca="1" si="0"/>
        <v>45177</v>
      </c>
      <c r="B53" t="str">
        <f t="shared" si="1"/>
        <v>V0052</v>
      </c>
      <c r="C53" t="str">
        <f t="shared" ca="1" si="2"/>
        <v>Male</v>
      </c>
      <c r="D53">
        <f t="shared" ca="1" si="3"/>
        <v>3</v>
      </c>
      <c r="E53" t="str">
        <f t="shared" ca="1" si="4"/>
        <v>African American</v>
      </c>
      <c r="F53" t="str">
        <f t="shared" ca="1" si="5"/>
        <v>AM</v>
      </c>
      <c r="G53" t="str">
        <f t="shared" ca="1" si="6"/>
        <v>Weekday</v>
      </c>
      <c r="H53" t="str">
        <f t="shared" ca="1" si="7"/>
        <v>Patient</v>
      </c>
      <c r="I53" t="str">
        <f t="shared" ca="1" si="8"/>
        <v>Cardiology</v>
      </c>
      <c r="J53">
        <f t="shared" ca="1" si="9"/>
        <v>7</v>
      </c>
      <c r="K53">
        <f t="shared" ca="1" si="10"/>
        <v>69</v>
      </c>
    </row>
    <row r="54" spans="1:11" x14ac:dyDescent="0.3">
      <c r="A54" s="1">
        <f t="shared" ca="1" si="0"/>
        <v>44928</v>
      </c>
      <c r="B54" t="str">
        <f t="shared" si="1"/>
        <v>V0053</v>
      </c>
      <c r="C54" t="str">
        <f t="shared" ca="1" si="2"/>
        <v>Male</v>
      </c>
      <c r="D54">
        <f t="shared" ca="1" si="3"/>
        <v>46</v>
      </c>
      <c r="E54" t="str">
        <f t="shared" ca="1" si="4"/>
        <v>White</v>
      </c>
      <c r="F54" t="str">
        <f t="shared" ca="1" si="5"/>
        <v>PM</v>
      </c>
      <c r="G54" t="str">
        <f t="shared" ca="1" si="6"/>
        <v>Weekday</v>
      </c>
      <c r="H54" t="str">
        <f t="shared" ca="1" si="7"/>
        <v>Non-Patient</v>
      </c>
      <c r="I54" t="str">
        <f t="shared" ca="1" si="8"/>
        <v>Cardiology</v>
      </c>
      <c r="J54">
        <f t="shared" ca="1" si="9"/>
        <v>10</v>
      </c>
      <c r="K54">
        <f t="shared" ca="1" si="10"/>
        <v>38</v>
      </c>
    </row>
    <row r="55" spans="1:11" x14ac:dyDescent="0.3">
      <c r="A55" s="1">
        <f t="shared" ca="1" si="0"/>
        <v>44954</v>
      </c>
      <c r="B55" t="str">
        <f t="shared" si="1"/>
        <v>V0054</v>
      </c>
      <c r="C55" t="str">
        <f t="shared" ca="1" si="2"/>
        <v>Female</v>
      </c>
      <c r="D55">
        <f t="shared" ca="1" si="3"/>
        <v>6</v>
      </c>
      <c r="E55" t="str">
        <f t="shared" ca="1" si="4"/>
        <v>Native American</v>
      </c>
      <c r="F55" t="str">
        <f t="shared" ca="1" si="5"/>
        <v>PM</v>
      </c>
      <c r="G55" t="str">
        <f t="shared" ca="1" si="6"/>
        <v>Weekend</v>
      </c>
      <c r="H55" t="str">
        <f t="shared" ca="1" si="7"/>
        <v>Non-Patient</v>
      </c>
      <c r="I55" t="str">
        <f t="shared" ca="1" si="8"/>
        <v>Physiotherapy</v>
      </c>
      <c r="J55">
        <f t="shared" ca="1" si="9"/>
        <v>9</v>
      </c>
      <c r="K55">
        <f t="shared" ca="1" si="10"/>
        <v>39</v>
      </c>
    </row>
    <row r="56" spans="1:11" x14ac:dyDescent="0.3">
      <c r="A56" s="1">
        <f t="shared" ca="1" si="0"/>
        <v>45150</v>
      </c>
      <c r="B56" t="str">
        <f t="shared" si="1"/>
        <v>V0055</v>
      </c>
      <c r="C56" t="str">
        <f t="shared" ca="1" si="2"/>
        <v>Female</v>
      </c>
      <c r="D56">
        <f t="shared" ca="1" si="3"/>
        <v>53</v>
      </c>
      <c r="E56" t="str">
        <f t="shared" ca="1" si="4"/>
        <v>Pacific Islander</v>
      </c>
      <c r="F56" t="str">
        <f t="shared" ca="1" si="5"/>
        <v>AM</v>
      </c>
      <c r="G56" t="str">
        <f t="shared" ca="1" si="6"/>
        <v>Weekend</v>
      </c>
      <c r="H56" t="str">
        <f t="shared" ca="1" si="7"/>
        <v>Patient</v>
      </c>
      <c r="I56" t="str">
        <f t="shared" ca="1" si="8"/>
        <v>Physiotherapy</v>
      </c>
      <c r="J56">
        <f t="shared" ca="1" si="9"/>
        <v>8</v>
      </c>
      <c r="K56">
        <f t="shared" ca="1" si="10"/>
        <v>20</v>
      </c>
    </row>
    <row r="57" spans="1:11" x14ac:dyDescent="0.3">
      <c r="A57" s="1">
        <f t="shared" ca="1" si="0"/>
        <v>45152</v>
      </c>
      <c r="B57" t="str">
        <f t="shared" si="1"/>
        <v>V0056</v>
      </c>
      <c r="C57" t="str">
        <f t="shared" ca="1" si="2"/>
        <v>Male</v>
      </c>
      <c r="D57">
        <f t="shared" ca="1" si="3"/>
        <v>52</v>
      </c>
      <c r="E57" t="str">
        <f t="shared" ca="1" si="4"/>
        <v>African American</v>
      </c>
      <c r="F57" t="str">
        <f t="shared" ca="1" si="5"/>
        <v>PM</v>
      </c>
      <c r="G57" t="str">
        <f t="shared" ca="1" si="6"/>
        <v>Weekday</v>
      </c>
      <c r="H57" t="str">
        <f t="shared" ca="1" si="7"/>
        <v>Non-Patient</v>
      </c>
      <c r="I57" t="str">
        <f t="shared" ca="1" si="8"/>
        <v>Neurology</v>
      </c>
      <c r="J57">
        <f t="shared" ca="1" si="9"/>
        <v>7</v>
      </c>
      <c r="K57">
        <f t="shared" ca="1" si="10"/>
        <v>79</v>
      </c>
    </row>
    <row r="58" spans="1:11" x14ac:dyDescent="0.3">
      <c r="A58" s="1">
        <f t="shared" ca="1" si="0"/>
        <v>44961</v>
      </c>
      <c r="B58" t="str">
        <f t="shared" si="1"/>
        <v>V0057</v>
      </c>
      <c r="C58" t="str">
        <f t="shared" ca="1" si="2"/>
        <v>Male</v>
      </c>
      <c r="D58">
        <f t="shared" ca="1" si="3"/>
        <v>51</v>
      </c>
      <c r="E58" t="str">
        <f t="shared" ca="1" si="4"/>
        <v>Pacific Islander</v>
      </c>
      <c r="F58" t="str">
        <f t="shared" ca="1" si="5"/>
        <v>AM</v>
      </c>
      <c r="G58" t="str">
        <f t="shared" ca="1" si="6"/>
        <v>Weekend</v>
      </c>
      <c r="H58" t="str">
        <f t="shared" ca="1" si="7"/>
        <v>Patient</v>
      </c>
      <c r="I58" t="str">
        <f t="shared" ca="1" si="8"/>
        <v>General Practice</v>
      </c>
      <c r="J58">
        <f t="shared" ca="1" si="9"/>
        <v>6</v>
      </c>
      <c r="K58">
        <f t="shared" ca="1" si="10"/>
        <v>27</v>
      </c>
    </row>
    <row r="59" spans="1:11" x14ac:dyDescent="0.3">
      <c r="A59" s="1">
        <f t="shared" ca="1" si="0"/>
        <v>45067</v>
      </c>
      <c r="B59" t="str">
        <f t="shared" si="1"/>
        <v>V0058</v>
      </c>
      <c r="C59" t="str">
        <f t="shared" ca="1" si="2"/>
        <v>Male</v>
      </c>
      <c r="D59">
        <f t="shared" ca="1" si="3"/>
        <v>43</v>
      </c>
      <c r="E59" t="str">
        <f t="shared" ca="1" si="4"/>
        <v>White</v>
      </c>
      <c r="F59" t="str">
        <f t="shared" ca="1" si="5"/>
        <v>AM</v>
      </c>
      <c r="G59" t="str">
        <f t="shared" ca="1" si="6"/>
        <v>Weekend</v>
      </c>
      <c r="H59" t="str">
        <f t="shared" ca="1" si="7"/>
        <v>Patient</v>
      </c>
      <c r="I59" t="str">
        <f t="shared" ca="1" si="8"/>
        <v>Physiotherapy</v>
      </c>
      <c r="J59">
        <f t="shared" ca="1" si="9"/>
        <v>4</v>
      </c>
      <c r="K59">
        <f t="shared" ca="1" si="10"/>
        <v>42</v>
      </c>
    </row>
    <row r="60" spans="1:11" x14ac:dyDescent="0.3">
      <c r="A60" s="1">
        <f t="shared" ca="1" si="0"/>
        <v>45261</v>
      </c>
      <c r="B60" t="str">
        <f t="shared" si="1"/>
        <v>V0059</v>
      </c>
      <c r="C60" t="str">
        <f t="shared" ca="1" si="2"/>
        <v>Female</v>
      </c>
      <c r="D60">
        <f t="shared" ca="1" si="3"/>
        <v>28</v>
      </c>
      <c r="E60" t="str">
        <f t="shared" ca="1" si="4"/>
        <v>African American</v>
      </c>
      <c r="F60" t="str">
        <f t="shared" ca="1" si="5"/>
        <v>AM</v>
      </c>
      <c r="G60" t="str">
        <f t="shared" ca="1" si="6"/>
        <v>Weekday</v>
      </c>
      <c r="H60" t="str">
        <f t="shared" ca="1" si="7"/>
        <v>Patient</v>
      </c>
      <c r="I60" t="str">
        <f t="shared" ca="1" si="8"/>
        <v>Physiotherapy</v>
      </c>
      <c r="J60">
        <f t="shared" ca="1" si="9"/>
        <v>2</v>
      </c>
      <c r="K60">
        <f t="shared" ca="1" si="10"/>
        <v>38</v>
      </c>
    </row>
    <row r="61" spans="1:11" x14ac:dyDescent="0.3">
      <c r="A61" s="1">
        <f t="shared" ca="1" si="0"/>
        <v>44927</v>
      </c>
      <c r="B61" t="str">
        <f t="shared" si="1"/>
        <v>V0060</v>
      </c>
      <c r="C61" t="str">
        <f t="shared" ca="1" si="2"/>
        <v>Male</v>
      </c>
      <c r="D61">
        <f t="shared" ca="1" si="3"/>
        <v>32</v>
      </c>
      <c r="E61" t="str">
        <f t="shared" ca="1" si="4"/>
        <v>Native American</v>
      </c>
      <c r="F61" t="str">
        <f t="shared" ca="1" si="5"/>
        <v>PM</v>
      </c>
      <c r="G61" t="str">
        <f t="shared" ca="1" si="6"/>
        <v>Weekend</v>
      </c>
      <c r="H61" t="str">
        <f t="shared" ca="1" si="7"/>
        <v>Non-Patient</v>
      </c>
      <c r="I61" t="str">
        <f t="shared" ca="1" si="8"/>
        <v>Physiotherapy</v>
      </c>
      <c r="J61">
        <f t="shared" ca="1" si="9"/>
        <v>1</v>
      </c>
      <c r="K61">
        <f t="shared" ca="1" si="10"/>
        <v>84</v>
      </c>
    </row>
    <row r="62" spans="1:11" x14ac:dyDescent="0.3">
      <c r="A62" s="1">
        <f t="shared" ca="1" si="0"/>
        <v>45263</v>
      </c>
      <c r="B62" t="str">
        <f t="shared" si="1"/>
        <v>V0061</v>
      </c>
      <c r="C62" t="str">
        <f t="shared" ca="1" si="2"/>
        <v>Female</v>
      </c>
      <c r="D62">
        <f t="shared" ca="1" si="3"/>
        <v>85</v>
      </c>
      <c r="E62" t="str">
        <f t="shared" ca="1" si="4"/>
        <v>Asian</v>
      </c>
      <c r="F62" t="str">
        <f t="shared" ca="1" si="5"/>
        <v>AM</v>
      </c>
      <c r="G62" t="str">
        <f t="shared" ca="1" si="6"/>
        <v>Weekend</v>
      </c>
      <c r="H62" t="str">
        <f t="shared" ca="1" si="7"/>
        <v>Patient</v>
      </c>
      <c r="I62" t="str">
        <f t="shared" ca="1" si="8"/>
        <v>Physiotherapy</v>
      </c>
      <c r="J62">
        <f t="shared" ca="1" si="9"/>
        <v>1</v>
      </c>
      <c r="K62">
        <f t="shared" ca="1" si="10"/>
        <v>21</v>
      </c>
    </row>
    <row r="63" spans="1:11" x14ac:dyDescent="0.3">
      <c r="A63" s="1">
        <f t="shared" ca="1" si="0"/>
        <v>45226</v>
      </c>
      <c r="B63" t="str">
        <f t="shared" si="1"/>
        <v>V0062</v>
      </c>
      <c r="C63" t="str">
        <f t="shared" ca="1" si="2"/>
        <v>Female</v>
      </c>
      <c r="D63">
        <f t="shared" ca="1" si="3"/>
        <v>14</v>
      </c>
      <c r="E63" t="str">
        <f t="shared" ca="1" si="4"/>
        <v>Pacific Islander</v>
      </c>
      <c r="F63" t="str">
        <f t="shared" ca="1" si="5"/>
        <v>AM</v>
      </c>
      <c r="G63" t="str">
        <f t="shared" ca="1" si="6"/>
        <v>Weekday</v>
      </c>
      <c r="H63" t="str">
        <f t="shared" ca="1" si="7"/>
        <v>Non-Patient</v>
      </c>
      <c r="I63" t="str">
        <f t="shared" ca="1" si="8"/>
        <v>Neurology</v>
      </c>
      <c r="J63">
        <f t="shared" ca="1" si="9"/>
        <v>4</v>
      </c>
      <c r="K63">
        <f t="shared" ca="1" si="10"/>
        <v>46</v>
      </c>
    </row>
    <row r="64" spans="1:11" x14ac:dyDescent="0.3">
      <c r="A64" s="1">
        <f t="shared" ca="1" si="0"/>
        <v>45212</v>
      </c>
      <c r="B64" t="str">
        <f t="shared" si="1"/>
        <v>V0063</v>
      </c>
      <c r="C64" t="str">
        <f t="shared" ca="1" si="2"/>
        <v>Male</v>
      </c>
      <c r="D64">
        <f t="shared" ca="1" si="3"/>
        <v>18</v>
      </c>
      <c r="E64" t="str">
        <f t="shared" ca="1" si="4"/>
        <v>Native American</v>
      </c>
      <c r="F64" t="str">
        <f t="shared" ca="1" si="5"/>
        <v>AM</v>
      </c>
      <c r="G64" t="str">
        <f t="shared" ca="1" si="6"/>
        <v>Weekday</v>
      </c>
      <c r="H64" t="str">
        <f t="shared" ca="1" si="7"/>
        <v>Non-Patient</v>
      </c>
      <c r="I64" t="str">
        <f t="shared" ca="1" si="8"/>
        <v>Cardiology</v>
      </c>
      <c r="J64">
        <f t="shared" ca="1" si="9"/>
        <v>5</v>
      </c>
      <c r="K64">
        <f t="shared" ca="1" si="10"/>
        <v>25</v>
      </c>
    </row>
    <row r="65" spans="1:11" x14ac:dyDescent="0.3">
      <c r="A65" s="1">
        <f t="shared" ca="1" si="0"/>
        <v>45018</v>
      </c>
      <c r="B65" t="str">
        <f t="shared" si="1"/>
        <v>V0064</v>
      </c>
      <c r="C65" t="str">
        <f t="shared" ca="1" si="2"/>
        <v>Female</v>
      </c>
      <c r="D65">
        <f t="shared" ca="1" si="3"/>
        <v>36</v>
      </c>
      <c r="E65" t="str">
        <f t="shared" ca="1" si="4"/>
        <v>Pacific Islander</v>
      </c>
      <c r="F65" t="str">
        <f t="shared" ca="1" si="5"/>
        <v>PM</v>
      </c>
      <c r="G65" t="str">
        <f t="shared" ca="1" si="6"/>
        <v>Weekend</v>
      </c>
      <c r="H65" t="str">
        <f t="shared" ca="1" si="7"/>
        <v>Patient</v>
      </c>
      <c r="I65" t="str">
        <f t="shared" ca="1" si="8"/>
        <v>Neurology</v>
      </c>
      <c r="J65">
        <f t="shared" ca="1" si="9"/>
        <v>7</v>
      </c>
      <c r="K65">
        <f t="shared" ca="1" si="10"/>
        <v>90</v>
      </c>
    </row>
    <row r="66" spans="1:11" x14ac:dyDescent="0.3">
      <c r="A66" s="1">
        <f t="shared" ca="1" si="0"/>
        <v>45163</v>
      </c>
      <c r="B66" t="str">
        <f t="shared" si="1"/>
        <v>V0065</v>
      </c>
      <c r="C66" t="str">
        <f t="shared" ca="1" si="2"/>
        <v>Male</v>
      </c>
      <c r="D66">
        <f t="shared" ca="1" si="3"/>
        <v>10</v>
      </c>
      <c r="E66" t="str">
        <f t="shared" ca="1" si="4"/>
        <v>Pacific Islander</v>
      </c>
      <c r="F66" t="str">
        <f t="shared" ca="1" si="5"/>
        <v>PM</v>
      </c>
      <c r="G66" t="str">
        <f t="shared" ca="1" si="6"/>
        <v>Weekday</v>
      </c>
      <c r="H66" t="str">
        <f t="shared" ca="1" si="7"/>
        <v>Non-Patient</v>
      </c>
      <c r="I66" t="str">
        <f t="shared" ca="1" si="8"/>
        <v>Physiotherapy</v>
      </c>
      <c r="J66">
        <f t="shared" ca="1" si="9"/>
        <v>1</v>
      </c>
      <c r="K66">
        <f t="shared" ca="1" si="10"/>
        <v>27</v>
      </c>
    </row>
    <row r="67" spans="1:11" x14ac:dyDescent="0.3">
      <c r="A67" s="1">
        <f t="shared" ref="A67:A130" ca="1" si="11">DATE(2023,1,1)+RANDBETWEEN(0,365)</f>
        <v>45198</v>
      </c>
      <c r="B67" t="str">
        <f t="shared" ref="B67:B130" si="12">"V"&amp;TEXT(ROW(A67)-1,"0000")</f>
        <v>V0066</v>
      </c>
      <c r="C67" t="str">
        <f t="shared" ref="C67:C130" ca="1" si="13">IF(RAND()&gt;0.5,"Male","Female")</f>
        <v>Male</v>
      </c>
      <c r="D67">
        <f t="shared" ref="D67:D130" ca="1" si="14">RANDBETWEEN(1,85)</f>
        <v>39</v>
      </c>
      <c r="E67" t="str">
        <f t="shared" ref="E67:E130" ca="1" si="15">CHOOSE(RANDBETWEEN(1,5),"White","African American","Asian","Pacific Islander","Native American")</f>
        <v>Asian</v>
      </c>
      <c r="F67" t="str">
        <f t="shared" ref="F67:F130" ca="1" si="16">IF(RAND()&gt;0.5,"AM","PM")</f>
        <v>PM</v>
      </c>
      <c r="G67" t="str">
        <f t="shared" ref="G67:G130" ca="1" si="17">IF(WEEKDAY(A67,2)&lt;=5,"Weekday","Weekend")</f>
        <v>Weekday</v>
      </c>
      <c r="H67" t="str">
        <f t="shared" ref="H67:H130" ca="1" si="18">IF(RAND()&gt;0.5,"Patient","Non-Patient")</f>
        <v>Non-Patient</v>
      </c>
      <c r="I67" t="str">
        <f t="shared" ref="I67:I130" ca="1" si="19">CHOOSE(RANDBETWEEN(1,5),"General Practice","Orthopedics","Cardiology","Physiotherapy","Neurology")</f>
        <v>Orthopedics</v>
      </c>
      <c r="J67">
        <f t="shared" ref="J67:J130" ca="1" si="20">RANDBETWEEN(1,10)</f>
        <v>10</v>
      </c>
      <c r="K67">
        <f t="shared" ref="K67:K130" ca="1" si="21">RANDBETWEEN(10,90)</f>
        <v>44</v>
      </c>
    </row>
    <row r="68" spans="1:11" x14ac:dyDescent="0.3">
      <c r="A68" s="1">
        <f t="shared" ca="1" si="11"/>
        <v>45215</v>
      </c>
      <c r="B68" t="str">
        <f t="shared" si="12"/>
        <v>V0067</v>
      </c>
      <c r="C68" t="str">
        <f t="shared" ca="1" si="13"/>
        <v>Male</v>
      </c>
      <c r="D68">
        <f t="shared" ca="1" si="14"/>
        <v>68</v>
      </c>
      <c r="E68" t="str">
        <f t="shared" ca="1" si="15"/>
        <v>African American</v>
      </c>
      <c r="F68" t="str">
        <f t="shared" ca="1" si="16"/>
        <v>PM</v>
      </c>
      <c r="G68" t="str">
        <f t="shared" ca="1" si="17"/>
        <v>Weekday</v>
      </c>
      <c r="H68" t="str">
        <f t="shared" ca="1" si="18"/>
        <v>Non-Patient</v>
      </c>
      <c r="I68" t="str">
        <f t="shared" ca="1" si="19"/>
        <v>Orthopedics</v>
      </c>
      <c r="J68">
        <f t="shared" ca="1" si="20"/>
        <v>4</v>
      </c>
      <c r="K68">
        <f t="shared" ca="1" si="21"/>
        <v>31</v>
      </c>
    </row>
    <row r="69" spans="1:11" x14ac:dyDescent="0.3">
      <c r="A69" s="1">
        <f t="shared" ca="1" si="11"/>
        <v>45007</v>
      </c>
      <c r="B69" t="str">
        <f t="shared" si="12"/>
        <v>V0068</v>
      </c>
      <c r="C69" t="str">
        <f t="shared" ca="1" si="13"/>
        <v>Female</v>
      </c>
      <c r="D69">
        <f t="shared" ca="1" si="14"/>
        <v>84</v>
      </c>
      <c r="E69" t="str">
        <f t="shared" ca="1" si="15"/>
        <v>Native American</v>
      </c>
      <c r="F69" t="str">
        <f t="shared" ca="1" si="16"/>
        <v>PM</v>
      </c>
      <c r="G69" t="str">
        <f t="shared" ca="1" si="17"/>
        <v>Weekday</v>
      </c>
      <c r="H69" t="str">
        <f t="shared" ca="1" si="18"/>
        <v>Non-Patient</v>
      </c>
      <c r="I69" t="str">
        <f t="shared" ca="1" si="19"/>
        <v>Neurology</v>
      </c>
      <c r="J69">
        <f t="shared" ca="1" si="20"/>
        <v>8</v>
      </c>
      <c r="K69">
        <f t="shared" ca="1" si="21"/>
        <v>66</v>
      </c>
    </row>
    <row r="70" spans="1:11" x14ac:dyDescent="0.3">
      <c r="A70" s="1">
        <f t="shared" ca="1" si="11"/>
        <v>44929</v>
      </c>
      <c r="B70" t="str">
        <f t="shared" si="12"/>
        <v>V0069</v>
      </c>
      <c r="C70" t="str">
        <f t="shared" ca="1" si="13"/>
        <v>Male</v>
      </c>
      <c r="D70">
        <f t="shared" ca="1" si="14"/>
        <v>19</v>
      </c>
      <c r="E70" t="str">
        <f t="shared" ca="1" si="15"/>
        <v>Asian</v>
      </c>
      <c r="F70" t="str">
        <f t="shared" ca="1" si="16"/>
        <v>AM</v>
      </c>
      <c r="G70" t="str">
        <f t="shared" ca="1" si="17"/>
        <v>Weekday</v>
      </c>
      <c r="H70" t="str">
        <f t="shared" ca="1" si="18"/>
        <v>Patient</v>
      </c>
      <c r="I70" t="str">
        <f t="shared" ca="1" si="19"/>
        <v>Neurology</v>
      </c>
      <c r="J70">
        <f t="shared" ca="1" si="20"/>
        <v>4</v>
      </c>
      <c r="K70">
        <f t="shared" ca="1" si="21"/>
        <v>48</v>
      </c>
    </row>
    <row r="71" spans="1:11" x14ac:dyDescent="0.3">
      <c r="A71" s="1">
        <f t="shared" ca="1" si="11"/>
        <v>45274</v>
      </c>
      <c r="B71" t="str">
        <f t="shared" si="12"/>
        <v>V0070</v>
      </c>
      <c r="C71" t="str">
        <f t="shared" ca="1" si="13"/>
        <v>Male</v>
      </c>
      <c r="D71">
        <f t="shared" ca="1" si="14"/>
        <v>9</v>
      </c>
      <c r="E71" t="str">
        <f t="shared" ca="1" si="15"/>
        <v>Native American</v>
      </c>
      <c r="F71" t="str">
        <f t="shared" ca="1" si="16"/>
        <v>AM</v>
      </c>
      <c r="G71" t="str">
        <f t="shared" ca="1" si="17"/>
        <v>Weekday</v>
      </c>
      <c r="H71" t="str">
        <f t="shared" ca="1" si="18"/>
        <v>Patient</v>
      </c>
      <c r="I71" t="str">
        <f t="shared" ca="1" si="19"/>
        <v>Physiotherapy</v>
      </c>
      <c r="J71">
        <f t="shared" ca="1" si="20"/>
        <v>9</v>
      </c>
      <c r="K71">
        <f t="shared" ca="1" si="21"/>
        <v>71</v>
      </c>
    </row>
    <row r="72" spans="1:11" x14ac:dyDescent="0.3">
      <c r="A72" s="1">
        <f t="shared" ca="1" si="11"/>
        <v>44937</v>
      </c>
      <c r="B72" t="str">
        <f t="shared" si="12"/>
        <v>V0071</v>
      </c>
      <c r="C72" t="str">
        <f t="shared" ca="1" si="13"/>
        <v>Male</v>
      </c>
      <c r="D72">
        <f t="shared" ca="1" si="14"/>
        <v>33</v>
      </c>
      <c r="E72" t="str">
        <f t="shared" ca="1" si="15"/>
        <v>Native American</v>
      </c>
      <c r="F72" t="str">
        <f t="shared" ca="1" si="16"/>
        <v>PM</v>
      </c>
      <c r="G72" t="str">
        <f t="shared" ca="1" si="17"/>
        <v>Weekday</v>
      </c>
      <c r="H72" t="str">
        <f t="shared" ca="1" si="18"/>
        <v>Patient</v>
      </c>
      <c r="I72" t="str">
        <f t="shared" ca="1" si="19"/>
        <v>General Practice</v>
      </c>
      <c r="J72">
        <f t="shared" ca="1" si="20"/>
        <v>1</v>
      </c>
      <c r="K72">
        <f t="shared" ca="1" si="21"/>
        <v>45</v>
      </c>
    </row>
    <row r="73" spans="1:11" x14ac:dyDescent="0.3">
      <c r="A73" s="1">
        <f t="shared" ca="1" si="11"/>
        <v>45164</v>
      </c>
      <c r="B73" t="str">
        <f t="shared" si="12"/>
        <v>V0072</v>
      </c>
      <c r="C73" t="str">
        <f t="shared" ca="1" si="13"/>
        <v>Male</v>
      </c>
      <c r="D73">
        <f t="shared" ca="1" si="14"/>
        <v>14</v>
      </c>
      <c r="E73" t="str">
        <f t="shared" ca="1" si="15"/>
        <v>Native American</v>
      </c>
      <c r="F73" t="str">
        <f t="shared" ca="1" si="16"/>
        <v>AM</v>
      </c>
      <c r="G73" t="str">
        <f t="shared" ca="1" si="17"/>
        <v>Weekend</v>
      </c>
      <c r="H73" t="str">
        <f t="shared" ca="1" si="18"/>
        <v>Patient</v>
      </c>
      <c r="I73" t="str">
        <f t="shared" ca="1" si="19"/>
        <v>Orthopedics</v>
      </c>
      <c r="J73">
        <f t="shared" ca="1" si="20"/>
        <v>7</v>
      </c>
      <c r="K73">
        <f t="shared" ca="1" si="21"/>
        <v>83</v>
      </c>
    </row>
    <row r="74" spans="1:11" x14ac:dyDescent="0.3">
      <c r="A74" s="1">
        <f t="shared" ca="1" si="11"/>
        <v>45210</v>
      </c>
      <c r="B74" t="str">
        <f t="shared" si="12"/>
        <v>V0073</v>
      </c>
      <c r="C74" t="str">
        <f t="shared" ca="1" si="13"/>
        <v>Female</v>
      </c>
      <c r="D74">
        <f t="shared" ca="1" si="14"/>
        <v>68</v>
      </c>
      <c r="E74" t="str">
        <f t="shared" ca="1" si="15"/>
        <v>Native American</v>
      </c>
      <c r="F74" t="str">
        <f t="shared" ca="1" si="16"/>
        <v>PM</v>
      </c>
      <c r="G74" t="str">
        <f t="shared" ca="1" si="17"/>
        <v>Weekday</v>
      </c>
      <c r="H74" t="str">
        <f t="shared" ca="1" si="18"/>
        <v>Patient</v>
      </c>
      <c r="I74" t="str">
        <f t="shared" ca="1" si="19"/>
        <v>Cardiology</v>
      </c>
      <c r="J74">
        <f t="shared" ca="1" si="20"/>
        <v>3</v>
      </c>
      <c r="K74">
        <f t="shared" ca="1" si="21"/>
        <v>50</v>
      </c>
    </row>
    <row r="75" spans="1:11" x14ac:dyDescent="0.3">
      <c r="A75" s="1">
        <f t="shared" ca="1" si="11"/>
        <v>44983</v>
      </c>
      <c r="B75" t="str">
        <f t="shared" si="12"/>
        <v>V0074</v>
      </c>
      <c r="C75" t="str">
        <f t="shared" ca="1" si="13"/>
        <v>Male</v>
      </c>
      <c r="D75">
        <f t="shared" ca="1" si="14"/>
        <v>33</v>
      </c>
      <c r="E75" t="str">
        <f t="shared" ca="1" si="15"/>
        <v>African American</v>
      </c>
      <c r="F75" t="str">
        <f t="shared" ca="1" si="16"/>
        <v>AM</v>
      </c>
      <c r="G75" t="str">
        <f t="shared" ca="1" si="17"/>
        <v>Weekend</v>
      </c>
      <c r="H75" t="str">
        <f t="shared" ca="1" si="18"/>
        <v>Non-Patient</v>
      </c>
      <c r="I75" t="str">
        <f t="shared" ca="1" si="19"/>
        <v>Physiotherapy</v>
      </c>
      <c r="J75">
        <f t="shared" ca="1" si="20"/>
        <v>9</v>
      </c>
      <c r="K75">
        <f t="shared" ca="1" si="21"/>
        <v>64</v>
      </c>
    </row>
    <row r="76" spans="1:11" x14ac:dyDescent="0.3">
      <c r="A76" s="1">
        <f t="shared" ca="1" si="11"/>
        <v>45211</v>
      </c>
      <c r="B76" t="str">
        <f t="shared" si="12"/>
        <v>V0075</v>
      </c>
      <c r="C76" t="str">
        <f t="shared" ca="1" si="13"/>
        <v>Male</v>
      </c>
      <c r="D76">
        <f t="shared" ca="1" si="14"/>
        <v>39</v>
      </c>
      <c r="E76" t="str">
        <f t="shared" ca="1" si="15"/>
        <v>White</v>
      </c>
      <c r="F76" t="str">
        <f t="shared" ca="1" si="16"/>
        <v>PM</v>
      </c>
      <c r="G76" t="str">
        <f t="shared" ca="1" si="17"/>
        <v>Weekday</v>
      </c>
      <c r="H76" t="str">
        <f t="shared" ca="1" si="18"/>
        <v>Non-Patient</v>
      </c>
      <c r="I76" t="str">
        <f t="shared" ca="1" si="19"/>
        <v>Orthopedics</v>
      </c>
      <c r="J76">
        <f t="shared" ca="1" si="20"/>
        <v>8</v>
      </c>
      <c r="K76">
        <f t="shared" ca="1" si="21"/>
        <v>23</v>
      </c>
    </row>
    <row r="77" spans="1:11" x14ac:dyDescent="0.3">
      <c r="A77" s="1">
        <f t="shared" ca="1" si="11"/>
        <v>45002</v>
      </c>
      <c r="B77" t="str">
        <f t="shared" si="12"/>
        <v>V0076</v>
      </c>
      <c r="C77" t="str">
        <f t="shared" ca="1" si="13"/>
        <v>Female</v>
      </c>
      <c r="D77">
        <f t="shared" ca="1" si="14"/>
        <v>79</v>
      </c>
      <c r="E77" t="str">
        <f t="shared" ca="1" si="15"/>
        <v>African American</v>
      </c>
      <c r="F77" t="str">
        <f t="shared" ca="1" si="16"/>
        <v>PM</v>
      </c>
      <c r="G77" t="str">
        <f t="shared" ca="1" si="17"/>
        <v>Weekday</v>
      </c>
      <c r="H77" t="str">
        <f t="shared" ca="1" si="18"/>
        <v>Patient</v>
      </c>
      <c r="I77" t="str">
        <f t="shared" ca="1" si="19"/>
        <v>Orthopedics</v>
      </c>
      <c r="J77">
        <f t="shared" ca="1" si="20"/>
        <v>5</v>
      </c>
      <c r="K77">
        <f t="shared" ca="1" si="21"/>
        <v>75</v>
      </c>
    </row>
    <row r="78" spans="1:11" x14ac:dyDescent="0.3">
      <c r="A78" s="1">
        <f t="shared" ca="1" si="11"/>
        <v>45252</v>
      </c>
      <c r="B78" t="str">
        <f t="shared" si="12"/>
        <v>V0077</v>
      </c>
      <c r="C78" t="str">
        <f t="shared" ca="1" si="13"/>
        <v>Male</v>
      </c>
      <c r="D78">
        <f t="shared" ca="1" si="14"/>
        <v>4</v>
      </c>
      <c r="E78" t="str">
        <f t="shared" ca="1" si="15"/>
        <v>Asian</v>
      </c>
      <c r="F78" t="str">
        <f t="shared" ca="1" si="16"/>
        <v>AM</v>
      </c>
      <c r="G78" t="str">
        <f t="shared" ca="1" si="17"/>
        <v>Weekday</v>
      </c>
      <c r="H78" t="str">
        <f t="shared" ca="1" si="18"/>
        <v>Patient</v>
      </c>
      <c r="I78" t="str">
        <f t="shared" ca="1" si="19"/>
        <v>Neurology</v>
      </c>
      <c r="J78">
        <f t="shared" ca="1" si="20"/>
        <v>5</v>
      </c>
      <c r="K78">
        <f t="shared" ca="1" si="21"/>
        <v>15</v>
      </c>
    </row>
    <row r="79" spans="1:11" x14ac:dyDescent="0.3">
      <c r="A79" s="1">
        <f t="shared" ca="1" si="11"/>
        <v>45128</v>
      </c>
      <c r="B79" t="str">
        <f t="shared" si="12"/>
        <v>V0078</v>
      </c>
      <c r="C79" t="str">
        <f t="shared" ca="1" si="13"/>
        <v>Male</v>
      </c>
      <c r="D79">
        <f t="shared" ca="1" si="14"/>
        <v>3</v>
      </c>
      <c r="E79" t="str">
        <f t="shared" ca="1" si="15"/>
        <v>White</v>
      </c>
      <c r="F79" t="str">
        <f t="shared" ca="1" si="16"/>
        <v>AM</v>
      </c>
      <c r="G79" t="str">
        <f t="shared" ca="1" si="17"/>
        <v>Weekday</v>
      </c>
      <c r="H79" t="str">
        <f t="shared" ca="1" si="18"/>
        <v>Non-Patient</v>
      </c>
      <c r="I79" t="str">
        <f t="shared" ca="1" si="19"/>
        <v>General Practice</v>
      </c>
      <c r="J79">
        <f t="shared" ca="1" si="20"/>
        <v>6</v>
      </c>
      <c r="K79">
        <f t="shared" ca="1" si="21"/>
        <v>79</v>
      </c>
    </row>
    <row r="80" spans="1:11" x14ac:dyDescent="0.3">
      <c r="A80" s="1">
        <f t="shared" ca="1" si="11"/>
        <v>45287</v>
      </c>
      <c r="B80" t="str">
        <f t="shared" si="12"/>
        <v>V0079</v>
      </c>
      <c r="C80" t="str">
        <f t="shared" ca="1" si="13"/>
        <v>Male</v>
      </c>
      <c r="D80">
        <f t="shared" ca="1" si="14"/>
        <v>12</v>
      </c>
      <c r="E80" t="str">
        <f t="shared" ca="1" si="15"/>
        <v>Native American</v>
      </c>
      <c r="F80" t="str">
        <f t="shared" ca="1" si="16"/>
        <v>PM</v>
      </c>
      <c r="G80" t="str">
        <f t="shared" ca="1" si="17"/>
        <v>Weekday</v>
      </c>
      <c r="H80" t="str">
        <f t="shared" ca="1" si="18"/>
        <v>Patient</v>
      </c>
      <c r="I80" t="str">
        <f t="shared" ca="1" si="19"/>
        <v>Orthopedics</v>
      </c>
      <c r="J80">
        <f t="shared" ca="1" si="20"/>
        <v>1</v>
      </c>
      <c r="K80">
        <f t="shared" ca="1" si="21"/>
        <v>28</v>
      </c>
    </row>
    <row r="81" spans="1:11" x14ac:dyDescent="0.3">
      <c r="A81" s="1">
        <f t="shared" ca="1" si="11"/>
        <v>45146</v>
      </c>
      <c r="B81" t="str">
        <f t="shared" si="12"/>
        <v>V0080</v>
      </c>
      <c r="C81" t="str">
        <f t="shared" ca="1" si="13"/>
        <v>Female</v>
      </c>
      <c r="D81">
        <f t="shared" ca="1" si="14"/>
        <v>73</v>
      </c>
      <c r="E81" t="str">
        <f t="shared" ca="1" si="15"/>
        <v>African American</v>
      </c>
      <c r="F81" t="str">
        <f t="shared" ca="1" si="16"/>
        <v>AM</v>
      </c>
      <c r="G81" t="str">
        <f t="shared" ca="1" si="17"/>
        <v>Weekday</v>
      </c>
      <c r="H81" t="str">
        <f t="shared" ca="1" si="18"/>
        <v>Non-Patient</v>
      </c>
      <c r="I81" t="str">
        <f t="shared" ca="1" si="19"/>
        <v>General Practice</v>
      </c>
      <c r="J81">
        <f t="shared" ca="1" si="20"/>
        <v>9</v>
      </c>
      <c r="K81">
        <f t="shared" ca="1" si="21"/>
        <v>72</v>
      </c>
    </row>
    <row r="82" spans="1:11" x14ac:dyDescent="0.3">
      <c r="A82" s="1">
        <f t="shared" ca="1" si="11"/>
        <v>45030</v>
      </c>
      <c r="B82" t="str">
        <f t="shared" si="12"/>
        <v>V0081</v>
      </c>
      <c r="C82" t="str">
        <f t="shared" ca="1" si="13"/>
        <v>Female</v>
      </c>
      <c r="D82">
        <f t="shared" ca="1" si="14"/>
        <v>41</v>
      </c>
      <c r="E82" t="str">
        <f t="shared" ca="1" si="15"/>
        <v>Native American</v>
      </c>
      <c r="F82" t="str">
        <f t="shared" ca="1" si="16"/>
        <v>PM</v>
      </c>
      <c r="G82" t="str">
        <f t="shared" ca="1" si="17"/>
        <v>Weekday</v>
      </c>
      <c r="H82" t="str">
        <f t="shared" ca="1" si="18"/>
        <v>Patient</v>
      </c>
      <c r="I82" t="str">
        <f t="shared" ca="1" si="19"/>
        <v>Orthopedics</v>
      </c>
      <c r="J82">
        <f t="shared" ca="1" si="20"/>
        <v>2</v>
      </c>
      <c r="K82">
        <f t="shared" ca="1" si="21"/>
        <v>45</v>
      </c>
    </row>
    <row r="83" spans="1:11" x14ac:dyDescent="0.3">
      <c r="A83" s="1">
        <f t="shared" ca="1" si="11"/>
        <v>44983</v>
      </c>
      <c r="B83" t="str">
        <f t="shared" si="12"/>
        <v>V0082</v>
      </c>
      <c r="C83" t="str">
        <f t="shared" ca="1" si="13"/>
        <v>Female</v>
      </c>
      <c r="D83">
        <f t="shared" ca="1" si="14"/>
        <v>54</v>
      </c>
      <c r="E83" t="str">
        <f t="shared" ca="1" si="15"/>
        <v>Asian</v>
      </c>
      <c r="F83" t="str">
        <f t="shared" ca="1" si="16"/>
        <v>PM</v>
      </c>
      <c r="G83" t="str">
        <f t="shared" ca="1" si="17"/>
        <v>Weekend</v>
      </c>
      <c r="H83" t="str">
        <f t="shared" ca="1" si="18"/>
        <v>Patient</v>
      </c>
      <c r="I83" t="str">
        <f t="shared" ca="1" si="19"/>
        <v>Neurology</v>
      </c>
      <c r="J83">
        <f t="shared" ca="1" si="20"/>
        <v>2</v>
      </c>
      <c r="K83">
        <f t="shared" ca="1" si="21"/>
        <v>65</v>
      </c>
    </row>
    <row r="84" spans="1:11" x14ac:dyDescent="0.3">
      <c r="A84" s="1">
        <f t="shared" ca="1" si="11"/>
        <v>45159</v>
      </c>
      <c r="B84" t="str">
        <f t="shared" si="12"/>
        <v>V0083</v>
      </c>
      <c r="C84" t="str">
        <f t="shared" ca="1" si="13"/>
        <v>Male</v>
      </c>
      <c r="D84">
        <f t="shared" ca="1" si="14"/>
        <v>77</v>
      </c>
      <c r="E84" t="str">
        <f t="shared" ca="1" si="15"/>
        <v>Pacific Islander</v>
      </c>
      <c r="F84" t="str">
        <f t="shared" ca="1" si="16"/>
        <v>AM</v>
      </c>
      <c r="G84" t="str">
        <f t="shared" ca="1" si="17"/>
        <v>Weekday</v>
      </c>
      <c r="H84" t="str">
        <f t="shared" ca="1" si="18"/>
        <v>Patient</v>
      </c>
      <c r="I84" t="str">
        <f t="shared" ca="1" si="19"/>
        <v>Orthopedics</v>
      </c>
      <c r="J84">
        <f t="shared" ca="1" si="20"/>
        <v>8</v>
      </c>
      <c r="K84">
        <f t="shared" ca="1" si="21"/>
        <v>12</v>
      </c>
    </row>
    <row r="85" spans="1:11" x14ac:dyDescent="0.3">
      <c r="A85" s="1">
        <f t="shared" ca="1" si="11"/>
        <v>44934</v>
      </c>
      <c r="B85" t="str">
        <f t="shared" si="12"/>
        <v>V0084</v>
      </c>
      <c r="C85" t="str">
        <f t="shared" ca="1" si="13"/>
        <v>Male</v>
      </c>
      <c r="D85">
        <f t="shared" ca="1" si="14"/>
        <v>60</v>
      </c>
      <c r="E85" t="str">
        <f t="shared" ca="1" si="15"/>
        <v>African American</v>
      </c>
      <c r="F85" t="str">
        <f t="shared" ca="1" si="16"/>
        <v>PM</v>
      </c>
      <c r="G85" t="str">
        <f t="shared" ca="1" si="17"/>
        <v>Weekend</v>
      </c>
      <c r="H85" t="str">
        <f t="shared" ca="1" si="18"/>
        <v>Non-Patient</v>
      </c>
      <c r="I85" t="str">
        <f t="shared" ca="1" si="19"/>
        <v>General Practice</v>
      </c>
      <c r="J85">
        <f t="shared" ca="1" si="20"/>
        <v>5</v>
      </c>
      <c r="K85">
        <f t="shared" ca="1" si="21"/>
        <v>13</v>
      </c>
    </row>
    <row r="86" spans="1:11" x14ac:dyDescent="0.3">
      <c r="A86" s="1">
        <f t="shared" ca="1" si="11"/>
        <v>45225</v>
      </c>
      <c r="B86" t="str">
        <f t="shared" si="12"/>
        <v>V0085</v>
      </c>
      <c r="C86" t="str">
        <f t="shared" ca="1" si="13"/>
        <v>Male</v>
      </c>
      <c r="D86">
        <f t="shared" ca="1" si="14"/>
        <v>31</v>
      </c>
      <c r="E86" t="str">
        <f t="shared" ca="1" si="15"/>
        <v>Asian</v>
      </c>
      <c r="F86" t="str">
        <f t="shared" ca="1" si="16"/>
        <v>AM</v>
      </c>
      <c r="G86" t="str">
        <f t="shared" ca="1" si="17"/>
        <v>Weekday</v>
      </c>
      <c r="H86" t="str">
        <f t="shared" ca="1" si="18"/>
        <v>Non-Patient</v>
      </c>
      <c r="I86" t="str">
        <f t="shared" ca="1" si="19"/>
        <v>Neurology</v>
      </c>
      <c r="J86">
        <f t="shared" ca="1" si="20"/>
        <v>6</v>
      </c>
      <c r="K86">
        <f t="shared" ca="1" si="21"/>
        <v>29</v>
      </c>
    </row>
    <row r="87" spans="1:11" x14ac:dyDescent="0.3">
      <c r="A87" s="1">
        <f t="shared" ca="1" si="11"/>
        <v>45266</v>
      </c>
      <c r="B87" t="str">
        <f t="shared" si="12"/>
        <v>V0086</v>
      </c>
      <c r="C87" t="str">
        <f t="shared" ca="1" si="13"/>
        <v>Male</v>
      </c>
      <c r="D87">
        <f t="shared" ca="1" si="14"/>
        <v>49</v>
      </c>
      <c r="E87" t="str">
        <f t="shared" ca="1" si="15"/>
        <v>Asian</v>
      </c>
      <c r="F87" t="str">
        <f t="shared" ca="1" si="16"/>
        <v>AM</v>
      </c>
      <c r="G87" t="str">
        <f t="shared" ca="1" si="17"/>
        <v>Weekday</v>
      </c>
      <c r="H87" t="str">
        <f t="shared" ca="1" si="18"/>
        <v>Non-Patient</v>
      </c>
      <c r="I87" t="str">
        <f t="shared" ca="1" si="19"/>
        <v>General Practice</v>
      </c>
      <c r="J87">
        <f t="shared" ca="1" si="20"/>
        <v>6</v>
      </c>
      <c r="K87">
        <f t="shared" ca="1" si="21"/>
        <v>82</v>
      </c>
    </row>
    <row r="88" spans="1:11" x14ac:dyDescent="0.3">
      <c r="A88" s="1">
        <f t="shared" ca="1" si="11"/>
        <v>45144</v>
      </c>
      <c r="B88" t="str">
        <f t="shared" si="12"/>
        <v>V0087</v>
      </c>
      <c r="C88" t="str">
        <f t="shared" ca="1" si="13"/>
        <v>Male</v>
      </c>
      <c r="D88">
        <f t="shared" ca="1" si="14"/>
        <v>47</v>
      </c>
      <c r="E88" t="str">
        <f t="shared" ca="1" si="15"/>
        <v>African American</v>
      </c>
      <c r="F88" t="str">
        <f t="shared" ca="1" si="16"/>
        <v>AM</v>
      </c>
      <c r="G88" t="str">
        <f t="shared" ca="1" si="17"/>
        <v>Weekend</v>
      </c>
      <c r="H88" t="str">
        <f t="shared" ca="1" si="18"/>
        <v>Patient</v>
      </c>
      <c r="I88" t="str">
        <f t="shared" ca="1" si="19"/>
        <v>Cardiology</v>
      </c>
      <c r="J88">
        <f t="shared" ca="1" si="20"/>
        <v>3</v>
      </c>
      <c r="K88">
        <f t="shared" ca="1" si="21"/>
        <v>35</v>
      </c>
    </row>
    <row r="89" spans="1:11" x14ac:dyDescent="0.3">
      <c r="A89" s="1">
        <f t="shared" ca="1" si="11"/>
        <v>45136</v>
      </c>
      <c r="B89" t="str">
        <f t="shared" si="12"/>
        <v>V0088</v>
      </c>
      <c r="C89" t="str">
        <f t="shared" ca="1" si="13"/>
        <v>Male</v>
      </c>
      <c r="D89">
        <f t="shared" ca="1" si="14"/>
        <v>57</v>
      </c>
      <c r="E89" t="str">
        <f t="shared" ca="1" si="15"/>
        <v>White</v>
      </c>
      <c r="F89" t="str">
        <f t="shared" ca="1" si="16"/>
        <v>AM</v>
      </c>
      <c r="G89" t="str">
        <f t="shared" ca="1" si="17"/>
        <v>Weekend</v>
      </c>
      <c r="H89" t="str">
        <f t="shared" ca="1" si="18"/>
        <v>Non-Patient</v>
      </c>
      <c r="I89" t="str">
        <f t="shared" ca="1" si="19"/>
        <v>Neurology</v>
      </c>
      <c r="J89">
        <f t="shared" ca="1" si="20"/>
        <v>3</v>
      </c>
      <c r="K89">
        <f t="shared" ca="1" si="21"/>
        <v>37</v>
      </c>
    </row>
    <row r="90" spans="1:11" x14ac:dyDescent="0.3">
      <c r="A90" s="1">
        <f t="shared" ca="1" si="11"/>
        <v>45076</v>
      </c>
      <c r="B90" t="str">
        <f t="shared" si="12"/>
        <v>V0089</v>
      </c>
      <c r="C90" t="str">
        <f t="shared" ca="1" si="13"/>
        <v>Male</v>
      </c>
      <c r="D90">
        <f t="shared" ca="1" si="14"/>
        <v>33</v>
      </c>
      <c r="E90" t="str">
        <f t="shared" ca="1" si="15"/>
        <v>African American</v>
      </c>
      <c r="F90" t="str">
        <f t="shared" ca="1" si="16"/>
        <v>AM</v>
      </c>
      <c r="G90" t="str">
        <f t="shared" ca="1" si="17"/>
        <v>Weekday</v>
      </c>
      <c r="H90" t="str">
        <f t="shared" ca="1" si="18"/>
        <v>Non-Patient</v>
      </c>
      <c r="I90" t="str">
        <f t="shared" ca="1" si="19"/>
        <v>General Practice</v>
      </c>
      <c r="J90">
        <f t="shared" ca="1" si="20"/>
        <v>4</v>
      </c>
      <c r="K90">
        <f t="shared" ca="1" si="21"/>
        <v>72</v>
      </c>
    </row>
    <row r="91" spans="1:11" x14ac:dyDescent="0.3">
      <c r="A91" s="1">
        <f t="shared" ca="1" si="11"/>
        <v>45181</v>
      </c>
      <c r="B91" t="str">
        <f t="shared" si="12"/>
        <v>V0090</v>
      </c>
      <c r="C91" t="str">
        <f t="shared" ca="1" si="13"/>
        <v>Male</v>
      </c>
      <c r="D91">
        <f t="shared" ca="1" si="14"/>
        <v>46</v>
      </c>
      <c r="E91" t="str">
        <f t="shared" ca="1" si="15"/>
        <v>African American</v>
      </c>
      <c r="F91" t="str">
        <f t="shared" ca="1" si="16"/>
        <v>AM</v>
      </c>
      <c r="G91" t="str">
        <f t="shared" ca="1" si="17"/>
        <v>Weekday</v>
      </c>
      <c r="H91" t="str">
        <f t="shared" ca="1" si="18"/>
        <v>Patient</v>
      </c>
      <c r="I91" t="str">
        <f t="shared" ca="1" si="19"/>
        <v>Orthopedics</v>
      </c>
      <c r="J91">
        <f t="shared" ca="1" si="20"/>
        <v>1</v>
      </c>
      <c r="K91">
        <f t="shared" ca="1" si="21"/>
        <v>65</v>
      </c>
    </row>
    <row r="92" spans="1:11" x14ac:dyDescent="0.3">
      <c r="A92" s="1">
        <f t="shared" ca="1" si="11"/>
        <v>45173</v>
      </c>
      <c r="B92" t="str">
        <f t="shared" si="12"/>
        <v>V0091</v>
      </c>
      <c r="C92" t="str">
        <f t="shared" ca="1" si="13"/>
        <v>Female</v>
      </c>
      <c r="D92">
        <f t="shared" ca="1" si="14"/>
        <v>7</v>
      </c>
      <c r="E92" t="str">
        <f t="shared" ca="1" si="15"/>
        <v>Asian</v>
      </c>
      <c r="F92" t="str">
        <f t="shared" ca="1" si="16"/>
        <v>AM</v>
      </c>
      <c r="G92" t="str">
        <f t="shared" ca="1" si="17"/>
        <v>Weekday</v>
      </c>
      <c r="H92" t="str">
        <f t="shared" ca="1" si="18"/>
        <v>Non-Patient</v>
      </c>
      <c r="I92" t="str">
        <f t="shared" ca="1" si="19"/>
        <v>Neurology</v>
      </c>
      <c r="J92">
        <f t="shared" ca="1" si="20"/>
        <v>9</v>
      </c>
      <c r="K92">
        <f t="shared" ca="1" si="21"/>
        <v>84</v>
      </c>
    </row>
    <row r="93" spans="1:11" x14ac:dyDescent="0.3">
      <c r="A93" s="1">
        <f t="shared" ca="1" si="11"/>
        <v>45209</v>
      </c>
      <c r="B93" t="str">
        <f t="shared" si="12"/>
        <v>V0092</v>
      </c>
      <c r="C93" t="str">
        <f t="shared" ca="1" si="13"/>
        <v>Female</v>
      </c>
      <c r="D93">
        <f t="shared" ca="1" si="14"/>
        <v>5</v>
      </c>
      <c r="E93" t="str">
        <f t="shared" ca="1" si="15"/>
        <v>Pacific Islander</v>
      </c>
      <c r="F93" t="str">
        <f t="shared" ca="1" si="16"/>
        <v>AM</v>
      </c>
      <c r="G93" t="str">
        <f t="shared" ca="1" si="17"/>
        <v>Weekday</v>
      </c>
      <c r="H93" t="str">
        <f t="shared" ca="1" si="18"/>
        <v>Patient</v>
      </c>
      <c r="I93" t="str">
        <f t="shared" ca="1" si="19"/>
        <v>Neurology</v>
      </c>
      <c r="J93">
        <f t="shared" ca="1" si="20"/>
        <v>4</v>
      </c>
      <c r="K93">
        <f t="shared" ca="1" si="21"/>
        <v>75</v>
      </c>
    </row>
    <row r="94" spans="1:11" x14ac:dyDescent="0.3">
      <c r="A94" s="1">
        <f t="shared" ca="1" si="11"/>
        <v>45221</v>
      </c>
      <c r="B94" t="str">
        <f t="shared" si="12"/>
        <v>V0093</v>
      </c>
      <c r="C94" t="str">
        <f t="shared" ca="1" si="13"/>
        <v>Male</v>
      </c>
      <c r="D94">
        <f t="shared" ca="1" si="14"/>
        <v>42</v>
      </c>
      <c r="E94" t="str">
        <f t="shared" ca="1" si="15"/>
        <v>Pacific Islander</v>
      </c>
      <c r="F94" t="str">
        <f t="shared" ca="1" si="16"/>
        <v>AM</v>
      </c>
      <c r="G94" t="str">
        <f t="shared" ca="1" si="17"/>
        <v>Weekend</v>
      </c>
      <c r="H94" t="str">
        <f t="shared" ca="1" si="18"/>
        <v>Non-Patient</v>
      </c>
      <c r="I94" t="str">
        <f t="shared" ca="1" si="19"/>
        <v>Orthopedics</v>
      </c>
      <c r="J94">
        <f t="shared" ca="1" si="20"/>
        <v>4</v>
      </c>
      <c r="K94">
        <f t="shared" ca="1" si="21"/>
        <v>38</v>
      </c>
    </row>
    <row r="95" spans="1:11" x14ac:dyDescent="0.3">
      <c r="A95" s="1">
        <f t="shared" ca="1" si="11"/>
        <v>45012</v>
      </c>
      <c r="B95" t="str">
        <f t="shared" si="12"/>
        <v>V0094</v>
      </c>
      <c r="C95" t="str">
        <f t="shared" ca="1" si="13"/>
        <v>Male</v>
      </c>
      <c r="D95">
        <f t="shared" ca="1" si="14"/>
        <v>72</v>
      </c>
      <c r="E95" t="str">
        <f t="shared" ca="1" si="15"/>
        <v>White</v>
      </c>
      <c r="F95" t="str">
        <f t="shared" ca="1" si="16"/>
        <v>AM</v>
      </c>
      <c r="G95" t="str">
        <f t="shared" ca="1" si="17"/>
        <v>Weekday</v>
      </c>
      <c r="H95" t="str">
        <f t="shared" ca="1" si="18"/>
        <v>Non-Patient</v>
      </c>
      <c r="I95" t="str">
        <f t="shared" ca="1" si="19"/>
        <v>Orthopedics</v>
      </c>
      <c r="J95">
        <f t="shared" ca="1" si="20"/>
        <v>4</v>
      </c>
      <c r="K95">
        <f t="shared" ca="1" si="21"/>
        <v>17</v>
      </c>
    </row>
    <row r="96" spans="1:11" x14ac:dyDescent="0.3">
      <c r="A96" s="1">
        <f t="shared" ca="1" si="11"/>
        <v>44939</v>
      </c>
      <c r="B96" t="str">
        <f t="shared" si="12"/>
        <v>V0095</v>
      </c>
      <c r="C96" t="str">
        <f t="shared" ca="1" si="13"/>
        <v>Female</v>
      </c>
      <c r="D96">
        <f t="shared" ca="1" si="14"/>
        <v>61</v>
      </c>
      <c r="E96" t="str">
        <f t="shared" ca="1" si="15"/>
        <v>African American</v>
      </c>
      <c r="F96" t="str">
        <f t="shared" ca="1" si="16"/>
        <v>PM</v>
      </c>
      <c r="G96" t="str">
        <f t="shared" ca="1" si="17"/>
        <v>Weekday</v>
      </c>
      <c r="H96" t="str">
        <f t="shared" ca="1" si="18"/>
        <v>Non-Patient</v>
      </c>
      <c r="I96" t="str">
        <f t="shared" ca="1" si="19"/>
        <v>Physiotherapy</v>
      </c>
      <c r="J96">
        <f t="shared" ca="1" si="20"/>
        <v>10</v>
      </c>
      <c r="K96">
        <f t="shared" ca="1" si="21"/>
        <v>85</v>
      </c>
    </row>
    <row r="97" spans="1:11" x14ac:dyDescent="0.3">
      <c r="A97" s="1">
        <f t="shared" ca="1" si="11"/>
        <v>44968</v>
      </c>
      <c r="B97" t="str">
        <f t="shared" si="12"/>
        <v>V0096</v>
      </c>
      <c r="C97" t="str">
        <f t="shared" ca="1" si="13"/>
        <v>Male</v>
      </c>
      <c r="D97">
        <f t="shared" ca="1" si="14"/>
        <v>70</v>
      </c>
      <c r="E97" t="str">
        <f t="shared" ca="1" si="15"/>
        <v>Native American</v>
      </c>
      <c r="F97" t="str">
        <f t="shared" ca="1" si="16"/>
        <v>PM</v>
      </c>
      <c r="G97" t="str">
        <f t="shared" ca="1" si="17"/>
        <v>Weekend</v>
      </c>
      <c r="H97" t="str">
        <f t="shared" ca="1" si="18"/>
        <v>Patient</v>
      </c>
      <c r="I97" t="str">
        <f t="shared" ca="1" si="19"/>
        <v>Orthopedics</v>
      </c>
      <c r="J97">
        <f t="shared" ca="1" si="20"/>
        <v>7</v>
      </c>
      <c r="K97">
        <f t="shared" ca="1" si="21"/>
        <v>57</v>
      </c>
    </row>
    <row r="98" spans="1:11" x14ac:dyDescent="0.3">
      <c r="A98" s="1">
        <f t="shared" ca="1" si="11"/>
        <v>45065</v>
      </c>
      <c r="B98" t="str">
        <f t="shared" si="12"/>
        <v>V0097</v>
      </c>
      <c r="C98" t="str">
        <f t="shared" ca="1" si="13"/>
        <v>Male</v>
      </c>
      <c r="D98">
        <f t="shared" ca="1" si="14"/>
        <v>28</v>
      </c>
      <c r="E98" t="str">
        <f t="shared" ca="1" si="15"/>
        <v>Pacific Islander</v>
      </c>
      <c r="F98" t="str">
        <f t="shared" ca="1" si="16"/>
        <v>AM</v>
      </c>
      <c r="G98" t="str">
        <f t="shared" ca="1" si="17"/>
        <v>Weekday</v>
      </c>
      <c r="H98" t="str">
        <f t="shared" ca="1" si="18"/>
        <v>Patient</v>
      </c>
      <c r="I98" t="str">
        <f t="shared" ca="1" si="19"/>
        <v>Cardiology</v>
      </c>
      <c r="J98">
        <f t="shared" ca="1" si="20"/>
        <v>9</v>
      </c>
      <c r="K98">
        <f t="shared" ca="1" si="21"/>
        <v>42</v>
      </c>
    </row>
    <row r="99" spans="1:11" x14ac:dyDescent="0.3">
      <c r="A99" s="1">
        <f t="shared" ca="1" si="11"/>
        <v>45141</v>
      </c>
      <c r="B99" t="str">
        <f t="shared" si="12"/>
        <v>V0098</v>
      </c>
      <c r="C99" t="str">
        <f t="shared" ca="1" si="13"/>
        <v>Female</v>
      </c>
      <c r="D99">
        <f t="shared" ca="1" si="14"/>
        <v>19</v>
      </c>
      <c r="E99" t="str">
        <f t="shared" ca="1" si="15"/>
        <v>Pacific Islander</v>
      </c>
      <c r="F99" t="str">
        <f t="shared" ca="1" si="16"/>
        <v>AM</v>
      </c>
      <c r="G99" t="str">
        <f t="shared" ca="1" si="17"/>
        <v>Weekday</v>
      </c>
      <c r="H99" t="str">
        <f t="shared" ca="1" si="18"/>
        <v>Non-Patient</v>
      </c>
      <c r="I99" t="str">
        <f t="shared" ca="1" si="19"/>
        <v>Orthopedics</v>
      </c>
      <c r="J99">
        <f t="shared" ca="1" si="20"/>
        <v>4</v>
      </c>
      <c r="K99">
        <f t="shared" ca="1" si="21"/>
        <v>66</v>
      </c>
    </row>
    <row r="100" spans="1:11" x14ac:dyDescent="0.3">
      <c r="A100" s="1">
        <f t="shared" ca="1" si="11"/>
        <v>45227</v>
      </c>
      <c r="B100" t="str">
        <f t="shared" si="12"/>
        <v>V0099</v>
      </c>
      <c r="C100" t="str">
        <f t="shared" ca="1" si="13"/>
        <v>Male</v>
      </c>
      <c r="D100">
        <f t="shared" ca="1" si="14"/>
        <v>20</v>
      </c>
      <c r="E100" t="str">
        <f t="shared" ca="1" si="15"/>
        <v>Asian</v>
      </c>
      <c r="F100" t="str">
        <f t="shared" ca="1" si="16"/>
        <v>AM</v>
      </c>
      <c r="G100" t="str">
        <f t="shared" ca="1" si="17"/>
        <v>Weekend</v>
      </c>
      <c r="H100" t="str">
        <f t="shared" ca="1" si="18"/>
        <v>Non-Patient</v>
      </c>
      <c r="I100" t="str">
        <f t="shared" ca="1" si="19"/>
        <v>Cardiology</v>
      </c>
      <c r="J100">
        <f t="shared" ca="1" si="20"/>
        <v>5</v>
      </c>
      <c r="K100">
        <f t="shared" ca="1" si="21"/>
        <v>28</v>
      </c>
    </row>
    <row r="101" spans="1:11" x14ac:dyDescent="0.3">
      <c r="A101" s="1">
        <f t="shared" ca="1" si="11"/>
        <v>45132</v>
      </c>
      <c r="B101" t="str">
        <f t="shared" si="12"/>
        <v>V0100</v>
      </c>
      <c r="C101" t="str">
        <f t="shared" ca="1" si="13"/>
        <v>Female</v>
      </c>
      <c r="D101">
        <f t="shared" ca="1" si="14"/>
        <v>77</v>
      </c>
      <c r="E101" t="str">
        <f t="shared" ca="1" si="15"/>
        <v>Asian</v>
      </c>
      <c r="F101" t="str">
        <f t="shared" ca="1" si="16"/>
        <v>PM</v>
      </c>
      <c r="G101" t="str">
        <f t="shared" ca="1" si="17"/>
        <v>Weekday</v>
      </c>
      <c r="H101" t="str">
        <f t="shared" ca="1" si="18"/>
        <v>Patient</v>
      </c>
      <c r="I101" t="str">
        <f t="shared" ca="1" si="19"/>
        <v>General Practice</v>
      </c>
      <c r="J101">
        <f t="shared" ca="1" si="20"/>
        <v>9</v>
      </c>
      <c r="K101">
        <f t="shared" ca="1" si="21"/>
        <v>36</v>
      </c>
    </row>
    <row r="102" spans="1:11" x14ac:dyDescent="0.3">
      <c r="A102" s="1">
        <f t="shared" ca="1" si="11"/>
        <v>45233</v>
      </c>
      <c r="B102" t="str">
        <f t="shared" si="12"/>
        <v>V0101</v>
      </c>
      <c r="C102" t="str">
        <f t="shared" ca="1" si="13"/>
        <v>Female</v>
      </c>
      <c r="D102">
        <f t="shared" ca="1" si="14"/>
        <v>66</v>
      </c>
      <c r="E102" t="str">
        <f t="shared" ca="1" si="15"/>
        <v>White</v>
      </c>
      <c r="F102" t="str">
        <f t="shared" ca="1" si="16"/>
        <v>PM</v>
      </c>
      <c r="G102" t="str">
        <f t="shared" ca="1" si="17"/>
        <v>Weekday</v>
      </c>
      <c r="H102" t="str">
        <f t="shared" ca="1" si="18"/>
        <v>Non-Patient</v>
      </c>
      <c r="I102" t="str">
        <f t="shared" ca="1" si="19"/>
        <v>General Practice</v>
      </c>
      <c r="J102">
        <f t="shared" ca="1" si="20"/>
        <v>10</v>
      </c>
      <c r="K102">
        <f t="shared" ca="1" si="21"/>
        <v>26</v>
      </c>
    </row>
    <row r="103" spans="1:11" x14ac:dyDescent="0.3">
      <c r="A103" s="1">
        <f t="shared" ca="1" si="11"/>
        <v>44945</v>
      </c>
      <c r="B103" t="str">
        <f t="shared" si="12"/>
        <v>V0102</v>
      </c>
      <c r="C103" t="str">
        <f t="shared" ca="1" si="13"/>
        <v>Male</v>
      </c>
      <c r="D103">
        <f t="shared" ca="1" si="14"/>
        <v>2</v>
      </c>
      <c r="E103" t="str">
        <f t="shared" ca="1" si="15"/>
        <v>White</v>
      </c>
      <c r="F103" t="str">
        <f t="shared" ca="1" si="16"/>
        <v>PM</v>
      </c>
      <c r="G103" t="str">
        <f t="shared" ca="1" si="17"/>
        <v>Weekday</v>
      </c>
      <c r="H103" t="str">
        <f t="shared" ca="1" si="18"/>
        <v>Patient</v>
      </c>
      <c r="I103" t="str">
        <f t="shared" ca="1" si="19"/>
        <v>Physiotherapy</v>
      </c>
      <c r="J103">
        <f t="shared" ca="1" si="20"/>
        <v>2</v>
      </c>
      <c r="K103">
        <f t="shared" ca="1" si="21"/>
        <v>67</v>
      </c>
    </row>
    <row r="104" spans="1:11" x14ac:dyDescent="0.3">
      <c r="A104" s="1">
        <f t="shared" ca="1" si="11"/>
        <v>44985</v>
      </c>
      <c r="B104" t="str">
        <f t="shared" si="12"/>
        <v>V0103</v>
      </c>
      <c r="C104" t="str">
        <f t="shared" ca="1" si="13"/>
        <v>Male</v>
      </c>
      <c r="D104">
        <f t="shared" ca="1" si="14"/>
        <v>64</v>
      </c>
      <c r="E104" t="str">
        <f t="shared" ca="1" si="15"/>
        <v>Native American</v>
      </c>
      <c r="F104" t="str">
        <f t="shared" ca="1" si="16"/>
        <v>PM</v>
      </c>
      <c r="G104" t="str">
        <f t="shared" ca="1" si="17"/>
        <v>Weekday</v>
      </c>
      <c r="H104" t="str">
        <f t="shared" ca="1" si="18"/>
        <v>Non-Patient</v>
      </c>
      <c r="I104" t="str">
        <f t="shared" ca="1" si="19"/>
        <v>Neurology</v>
      </c>
      <c r="J104">
        <f t="shared" ca="1" si="20"/>
        <v>3</v>
      </c>
      <c r="K104">
        <f t="shared" ca="1" si="21"/>
        <v>54</v>
      </c>
    </row>
    <row r="105" spans="1:11" x14ac:dyDescent="0.3">
      <c r="A105" s="1">
        <f t="shared" ca="1" si="11"/>
        <v>45037</v>
      </c>
      <c r="B105" t="str">
        <f t="shared" si="12"/>
        <v>V0104</v>
      </c>
      <c r="C105" t="str">
        <f t="shared" ca="1" si="13"/>
        <v>Male</v>
      </c>
      <c r="D105">
        <f t="shared" ca="1" si="14"/>
        <v>68</v>
      </c>
      <c r="E105" t="str">
        <f t="shared" ca="1" si="15"/>
        <v>Asian</v>
      </c>
      <c r="F105" t="str">
        <f t="shared" ca="1" si="16"/>
        <v>AM</v>
      </c>
      <c r="G105" t="str">
        <f t="shared" ca="1" si="17"/>
        <v>Weekday</v>
      </c>
      <c r="H105" t="str">
        <f t="shared" ca="1" si="18"/>
        <v>Non-Patient</v>
      </c>
      <c r="I105" t="str">
        <f t="shared" ca="1" si="19"/>
        <v>Physiotherapy</v>
      </c>
      <c r="J105">
        <f t="shared" ca="1" si="20"/>
        <v>6</v>
      </c>
      <c r="K105">
        <f t="shared" ca="1" si="21"/>
        <v>47</v>
      </c>
    </row>
    <row r="106" spans="1:11" x14ac:dyDescent="0.3">
      <c r="A106" s="1">
        <f t="shared" ca="1" si="11"/>
        <v>45163</v>
      </c>
      <c r="B106" t="str">
        <f t="shared" si="12"/>
        <v>V0105</v>
      </c>
      <c r="C106" t="str">
        <f t="shared" ca="1" si="13"/>
        <v>Female</v>
      </c>
      <c r="D106">
        <f t="shared" ca="1" si="14"/>
        <v>77</v>
      </c>
      <c r="E106" t="str">
        <f t="shared" ca="1" si="15"/>
        <v>African American</v>
      </c>
      <c r="F106" t="str">
        <f t="shared" ca="1" si="16"/>
        <v>PM</v>
      </c>
      <c r="G106" t="str">
        <f t="shared" ca="1" si="17"/>
        <v>Weekday</v>
      </c>
      <c r="H106" t="str">
        <f t="shared" ca="1" si="18"/>
        <v>Patient</v>
      </c>
      <c r="I106" t="str">
        <f t="shared" ca="1" si="19"/>
        <v>Physiotherapy</v>
      </c>
      <c r="J106">
        <f t="shared" ca="1" si="20"/>
        <v>3</v>
      </c>
      <c r="K106">
        <f t="shared" ca="1" si="21"/>
        <v>83</v>
      </c>
    </row>
    <row r="107" spans="1:11" x14ac:dyDescent="0.3">
      <c r="A107" s="1">
        <f t="shared" ca="1" si="11"/>
        <v>45056</v>
      </c>
      <c r="B107" t="str">
        <f t="shared" si="12"/>
        <v>V0106</v>
      </c>
      <c r="C107" t="str">
        <f t="shared" ca="1" si="13"/>
        <v>Male</v>
      </c>
      <c r="D107">
        <f t="shared" ca="1" si="14"/>
        <v>79</v>
      </c>
      <c r="E107" t="str">
        <f t="shared" ca="1" si="15"/>
        <v>African American</v>
      </c>
      <c r="F107" t="str">
        <f t="shared" ca="1" si="16"/>
        <v>PM</v>
      </c>
      <c r="G107" t="str">
        <f t="shared" ca="1" si="17"/>
        <v>Weekday</v>
      </c>
      <c r="H107" t="str">
        <f t="shared" ca="1" si="18"/>
        <v>Non-Patient</v>
      </c>
      <c r="I107" t="str">
        <f t="shared" ca="1" si="19"/>
        <v>Physiotherapy</v>
      </c>
      <c r="J107">
        <f t="shared" ca="1" si="20"/>
        <v>4</v>
      </c>
      <c r="K107">
        <f t="shared" ca="1" si="21"/>
        <v>55</v>
      </c>
    </row>
    <row r="108" spans="1:11" x14ac:dyDescent="0.3">
      <c r="A108" s="1">
        <f t="shared" ca="1" si="11"/>
        <v>45270</v>
      </c>
      <c r="B108" t="str">
        <f t="shared" si="12"/>
        <v>V0107</v>
      </c>
      <c r="C108" t="str">
        <f t="shared" ca="1" si="13"/>
        <v>Female</v>
      </c>
      <c r="D108">
        <f t="shared" ca="1" si="14"/>
        <v>4</v>
      </c>
      <c r="E108" t="str">
        <f t="shared" ca="1" si="15"/>
        <v>Native American</v>
      </c>
      <c r="F108" t="str">
        <f t="shared" ca="1" si="16"/>
        <v>AM</v>
      </c>
      <c r="G108" t="str">
        <f t="shared" ca="1" si="17"/>
        <v>Weekend</v>
      </c>
      <c r="H108" t="str">
        <f t="shared" ca="1" si="18"/>
        <v>Non-Patient</v>
      </c>
      <c r="I108" t="str">
        <f t="shared" ca="1" si="19"/>
        <v>Physiotherapy</v>
      </c>
      <c r="J108">
        <f t="shared" ca="1" si="20"/>
        <v>4</v>
      </c>
      <c r="K108">
        <f t="shared" ca="1" si="21"/>
        <v>30</v>
      </c>
    </row>
    <row r="109" spans="1:11" x14ac:dyDescent="0.3">
      <c r="A109" s="1">
        <f t="shared" ca="1" si="11"/>
        <v>45090</v>
      </c>
      <c r="B109" t="str">
        <f t="shared" si="12"/>
        <v>V0108</v>
      </c>
      <c r="C109" t="str">
        <f t="shared" ca="1" si="13"/>
        <v>Male</v>
      </c>
      <c r="D109">
        <f t="shared" ca="1" si="14"/>
        <v>53</v>
      </c>
      <c r="E109" t="str">
        <f t="shared" ca="1" si="15"/>
        <v>Asian</v>
      </c>
      <c r="F109" t="str">
        <f t="shared" ca="1" si="16"/>
        <v>PM</v>
      </c>
      <c r="G109" t="str">
        <f t="shared" ca="1" si="17"/>
        <v>Weekday</v>
      </c>
      <c r="H109" t="str">
        <f t="shared" ca="1" si="18"/>
        <v>Non-Patient</v>
      </c>
      <c r="I109" t="str">
        <f t="shared" ca="1" si="19"/>
        <v>Physiotherapy</v>
      </c>
      <c r="J109">
        <f t="shared" ca="1" si="20"/>
        <v>4</v>
      </c>
      <c r="K109">
        <f t="shared" ca="1" si="21"/>
        <v>56</v>
      </c>
    </row>
    <row r="110" spans="1:11" x14ac:dyDescent="0.3">
      <c r="A110" s="1">
        <f t="shared" ca="1" si="11"/>
        <v>45255</v>
      </c>
      <c r="B110" t="str">
        <f t="shared" si="12"/>
        <v>V0109</v>
      </c>
      <c r="C110" t="str">
        <f t="shared" ca="1" si="13"/>
        <v>Female</v>
      </c>
      <c r="D110">
        <f t="shared" ca="1" si="14"/>
        <v>2</v>
      </c>
      <c r="E110" t="str">
        <f t="shared" ca="1" si="15"/>
        <v>African American</v>
      </c>
      <c r="F110" t="str">
        <f t="shared" ca="1" si="16"/>
        <v>PM</v>
      </c>
      <c r="G110" t="str">
        <f t="shared" ca="1" si="17"/>
        <v>Weekend</v>
      </c>
      <c r="H110" t="str">
        <f t="shared" ca="1" si="18"/>
        <v>Non-Patient</v>
      </c>
      <c r="I110" t="str">
        <f t="shared" ca="1" si="19"/>
        <v>Cardiology</v>
      </c>
      <c r="J110">
        <f t="shared" ca="1" si="20"/>
        <v>6</v>
      </c>
      <c r="K110">
        <f t="shared" ca="1" si="21"/>
        <v>22</v>
      </c>
    </row>
    <row r="111" spans="1:11" x14ac:dyDescent="0.3">
      <c r="A111" s="1">
        <f t="shared" ca="1" si="11"/>
        <v>45173</v>
      </c>
      <c r="B111" t="str">
        <f t="shared" si="12"/>
        <v>V0110</v>
      </c>
      <c r="C111" t="str">
        <f t="shared" ca="1" si="13"/>
        <v>Female</v>
      </c>
      <c r="D111">
        <f t="shared" ca="1" si="14"/>
        <v>50</v>
      </c>
      <c r="E111" t="str">
        <f t="shared" ca="1" si="15"/>
        <v>Native American</v>
      </c>
      <c r="F111" t="str">
        <f t="shared" ca="1" si="16"/>
        <v>AM</v>
      </c>
      <c r="G111" t="str">
        <f t="shared" ca="1" si="17"/>
        <v>Weekday</v>
      </c>
      <c r="H111" t="str">
        <f t="shared" ca="1" si="18"/>
        <v>Non-Patient</v>
      </c>
      <c r="I111" t="str">
        <f t="shared" ca="1" si="19"/>
        <v>General Practice</v>
      </c>
      <c r="J111">
        <f t="shared" ca="1" si="20"/>
        <v>8</v>
      </c>
      <c r="K111">
        <f t="shared" ca="1" si="21"/>
        <v>32</v>
      </c>
    </row>
    <row r="112" spans="1:11" x14ac:dyDescent="0.3">
      <c r="A112" s="1">
        <f t="shared" ca="1" si="11"/>
        <v>45079</v>
      </c>
      <c r="B112" t="str">
        <f t="shared" si="12"/>
        <v>V0111</v>
      </c>
      <c r="C112" t="str">
        <f t="shared" ca="1" si="13"/>
        <v>Female</v>
      </c>
      <c r="D112">
        <f t="shared" ca="1" si="14"/>
        <v>26</v>
      </c>
      <c r="E112" t="str">
        <f t="shared" ca="1" si="15"/>
        <v>Asian</v>
      </c>
      <c r="F112" t="str">
        <f t="shared" ca="1" si="16"/>
        <v>PM</v>
      </c>
      <c r="G112" t="str">
        <f t="shared" ca="1" si="17"/>
        <v>Weekday</v>
      </c>
      <c r="H112" t="str">
        <f t="shared" ca="1" si="18"/>
        <v>Patient</v>
      </c>
      <c r="I112" t="str">
        <f t="shared" ca="1" si="19"/>
        <v>Cardiology</v>
      </c>
      <c r="J112">
        <f t="shared" ca="1" si="20"/>
        <v>2</v>
      </c>
      <c r="K112">
        <f t="shared" ca="1" si="21"/>
        <v>16</v>
      </c>
    </row>
    <row r="113" spans="1:11" x14ac:dyDescent="0.3">
      <c r="A113" s="1">
        <f t="shared" ca="1" si="11"/>
        <v>45270</v>
      </c>
      <c r="B113" t="str">
        <f t="shared" si="12"/>
        <v>V0112</v>
      </c>
      <c r="C113" t="str">
        <f t="shared" ca="1" si="13"/>
        <v>Male</v>
      </c>
      <c r="D113">
        <f t="shared" ca="1" si="14"/>
        <v>60</v>
      </c>
      <c r="E113" t="str">
        <f t="shared" ca="1" si="15"/>
        <v>Pacific Islander</v>
      </c>
      <c r="F113" t="str">
        <f t="shared" ca="1" si="16"/>
        <v>PM</v>
      </c>
      <c r="G113" t="str">
        <f t="shared" ca="1" si="17"/>
        <v>Weekend</v>
      </c>
      <c r="H113" t="str">
        <f t="shared" ca="1" si="18"/>
        <v>Non-Patient</v>
      </c>
      <c r="I113" t="str">
        <f t="shared" ca="1" si="19"/>
        <v>General Practice</v>
      </c>
      <c r="J113">
        <f t="shared" ca="1" si="20"/>
        <v>3</v>
      </c>
      <c r="K113">
        <f t="shared" ca="1" si="21"/>
        <v>51</v>
      </c>
    </row>
    <row r="114" spans="1:11" x14ac:dyDescent="0.3">
      <c r="A114" s="1">
        <f t="shared" ca="1" si="11"/>
        <v>45207</v>
      </c>
      <c r="B114" t="str">
        <f t="shared" si="12"/>
        <v>V0113</v>
      </c>
      <c r="C114" t="str">
        <f t="shared" ca="1" si="13"/>
        <v>Male</v>
      </c>
      <c r="D114">
        <f t="shared" ca="1" si="14"/>
        <v>57</v>
      </c>
      <c r="E114" t="str">
        <f t="shared" ca="1" si="15"/>
        <v>White</v>
      </c>
      <c r="F114" t="str">
        <f t="shared" ca="1" si="16"/>
        <v>PM</v>
      </c>
      <c r="G114" t="str">
        <f t="shared" ca="1" si="17"/>
        <v>Weekend</v>
      </c>
      <c r="H114" t="str">
        <f t="shared" ca="1" si="18"/>
        <v>Non-Patient</v>
      </c>
      <c r="I114" t="str">
        <f t="shared" ca="1" si="19"/>
        <v>Physiotherapy</v>
      </c>
      <c r="J114">
        <f t="shared" ca="1" si="20"/>
        <v>7</v>
      </c>
      <c r="K114">
        <f t="shared" ca="1" si="21"/>
        <v>37</v>
      </c>
    </row>
    <row r="115" spans="1:11" x14ac:dyDescent="0.3">
      <c r="A115" s="1">
        <f t="shared" ca="1" si="11"/>
        <v>44992</v>
      </c>
      <c r="B115" t="str">
        <f t="shared" si="12"/>
        <v>V0114</v>
      </c>
      <c r="C115" t="str">
        <f t="shared" ca="1" si="13"/>
        <v>Female</v>
      </c>
      <c r="D115">
        <f t="shared" ca="1" si="14"/>
        <v>19</v>
      </c>
      <c r="E115" t="str">
        <f t="shared" ca="1" si="15"/>
        <v>White</v>
      </c>
      <c r="F115" t="str">
        <f t="shared" ca="1" si="16"/>
        <v>AM</v>
      </c>
      <c r="G115" t="str">
        <f t="shared" ca="1" si="17"/>
        <v>Weekday</v>
      </c>
      <c r="H115" t="str">
        <f t="shared" ca="1" si="18"/>
        <v>Non-Patient</v>
      </c>
      <c r="I115" t="str">
        <f t="shared" ca="1" si="19"/>
        <v>Orthopedics</v>
      </c>
      <c r="J115">
        <f t="shared" ca="1" si="20"/>
        <v>6</v>
      </c>
      <c r="K115">
        <f t="shared" ca="1" si="21"/>
        <v>42</v>
      </c>
    </row>
    <row r="116" spans="1:11" x14ac:dyDescent="0.3">
      <c r="A116" s="1">
        <f t="shared" ca="1" si="11"/>
        <v>44949</v>
      </c>
      <c r="B116" t="str">
        <f t="shared" si="12"/>
        <v>V0115</v>
      </c>
      <c r="C116" t="str">
        <f t="shared" ca="1" si="13"/>
        <v>Female</v>
      </c>
      <c r="D116">
        <f t="shared" ca="1" si="14"/>
        <v>23</v>
      </c>
      <c r="E116" t="str">
        <f t="shared" ca="1" si="15"/>
        <v>White</v>
      </c>
      <c r="F116" t="str">
        <f t="shared" ca="1" si="16"/>
        <v>AM</v>
      </c>
      <c r="G116" t="str">
        <f t="shared" ca="1" si="17"/>
        <v>Weekday</v>
      </c>
      <c r="H116" t="str">
        <f t="shared" ca="1" si="18"/>
        <v>Non-Patient</v>
      </c>
      <c r="I116" t="str">
        <f t="shared" ca="1" si="19"/>
        <v>General Practice</v>
      </c>
      <c r="J116">
        <f t="shared" ca="1" si="20"/>
        <v>10</v>
      </c>
      <c r="K116">
        <f t="shared" ca="1" si="21"/>
        <v>18</v>
      </c>
    </row>
    <row r="117" spans="1:11" x14ac:dyDescent="0.3">
      <c r="A117" s="1">
        <f t="shared" ca="1" si="11"/>
        <v>44996</v>
      </c>
      <c r="B117" t="str">
        <f t="shared" si="12"/>
        <v>V0116</v>
      </c>
      <c r="C117" t="str">
        <f t="shared" ca="1" si="13"/>
        <v>Male</v>
      </c>
      <c r="D117">
        <f t="shared" ca="1" si="14"/>
        <v>41</v>
      </c>
      <c r="E117" t="str">
        <f t="shared" ca="1" si="15"/>
        <v>Asian</v>
      </c>
      <c r="F117" t="str">
        <f t="shared" ca="1" si="16"/>
        <v>AM</v>
      </c>
      <c r="G117" t="str">
        <f t="shared" ca="1" si="17"/>
        <v>Weekend</v>
      </c>
      <c r="H117" t="str">
        <f t="shared" ca="1" si="18"/>
        <v>Patient</v>
      </c>
      <c r="I117" t="str">
        <f t="shared" ca="1" si="19"/>
        <v>Cardiology</v>
      </c>
      <c r="J117">
        <f t="shared" ca="1" si="20"/>
        <v>9</v>
      </c>
      <c r="K117">
        <f t="shared" ca="1" si="21"/>
        <v>65</v>
      </c>
    </row>
    <row r="118" spans="1:11" x14ac:dyDescent="0.3">
      <c r="A118" s="1">
        <f t="shared" ca="1" si="11"/>
        <v>45173</v>
      </c>
      <c r="B118" t="str">
        <f t="shared" si="12"/>
        <v>V0117</v>
      </c>
      <c r="C118" t="str">
        <f t="shared" ca="1" si="13"/>
        <v>Male</v>
      </c>
      <c r="D118">
        <f t="shared" ca="1" si="14"/>
        <v>40</v>
      </c>
      <c r="E118" t="str">
        <f t="shared" ca="1" si="15"/>
        <v>Native American</v>
      </c>
      <c r="F118" t="str">
        <f t="shared" ca="1" si="16"/>
        <v>PM</v>
      </c>
      <c r="G118" t="str">
        <f t="shared" ca="1" si="17"/>
        <v>Weekday</v>
      </c>
      <c r="H118" t="str">
        <f t="shared" ca="1" si="18"/>
        <v>Non-Patient</v>
      </c>
      <c r="I118" t="str">
        <f t="shared" ca="1" si="19"/>
        <v>Orthopedics</v>
      </c>
      <c r="J118">
        <f t="shared" ca="1" si="20"/>
        <v>8</v>
      </c>
      <c r="K118">
        <f t="shared" ca="1" si="21"/>
        <v>10</v>
      </c>
    </row>
    <row r="119" spans="1:11" x14ac:dyDescent="0.3">
      <c r="A119" s="1">
        <f t="shared" ca="1" si="11"/>
        <v>45136</v>
      </c>
      <c r="B119" t="str">
        <f t="shared" si="12"/>
        <v>V0118</v>
      </c>
      <c r="C119" t="str">
        <f t="shared" ca="1" si="13"/>
        <v>Male</v>
      </c>
      <c r="D119">
        <f t="shared" ca="1" si="14"/>
        <v>47</v>
      </c>
      <c r="E119" t="str">
        <f t="shared" ca="1" si="15"/>
        <v>Pacific Islander</v>
      </c>
      <c r="F119" t="str">
        <f t="shared" ca="1" si="16"/>
        <v>AM</v>
      </c>
      <c r="G119" t="str">
        <f t="shared" ca="1" si="17"/>
        <v>Weekend</v>
      </c>
      <c r="H119" t="str">
        <f t="shared" ca="1" si="18"/>
        <v>Patient</v>
      </c>
      <c r="I119" t="str">
        <f t="shared" ca="1" si="19"/>
        <v>Cardiology</v>
      </c>
      <c r="J119">
        <f t="shared" ca="1" si="20"/>
        <v>3</v>
      </c>
      <c r="K119">
        <f t="shared" ca="1" si="21"/>
        <v>38</v>
      </c>
    </row>
    <row r="120" spans="1:11" x14ac:dyDescent="0.3">
      <c r="A120" s="1">
        <f t="shared" ca="1" si="11"/>
        <v>45120</v>
      </c>
      <c r="B120" t="str">
        <f t="shared" si="12"/>
        <v>V0119</v>
      </c>
      <c r="C120" t="str">
        <f t="shared" ca="1" si="13"/>
        <v>Female</v>
      </c>
      <c r="D120">
        <f t="shared" ca="1" si="14"/>
        <v>58</v>
      </c>
      <c r="E120" t="str">
        <f t="shared" ca="1" si="15"/>
        <v>Asian</v>
      </c>
      <c r="F120" t="str">
        <f t="shared" ca="1" si="16"/>
        <v>AM</v>
      </c>
      <c r="G120" t="str">
        <f t="shared" ca="1" si="17"/>
        <v>Weekday</v>
      </c>
      <c r="H120" t="str">
        <f t="shared" ca="1" si="18"/>
        <v>Non-Patient</v>
      </c>
      <c r="I120" t="str">
        <f t="shared" ca="1" si="19"/>
        <v>Orthopedics</v>
      </c>
      <c r="J120">
        <f t="shared" ca="1" si="20"/>
        <v>8</v>
      </c>
      <c r="K120">
        <f t="shared" ca="1" si="21"/>
        <v>27</v>
      </c>
    </row>
    <row r="121" spans="1:11" x14ac:dyDescent="0.3">
      <c r="A121" s="1">
        <f t="shared" ca="1" si="11"/>
        <v>45274</v>
      </c>
      <c r="B121" t="str">
        <f t="shared" si="12"/>
        <v>V0120</v>
      </c>
      <c r="C121" t="str">
        <f t="shared" ca="1" si="13"/>
        <v>Female</v>
      </c>
      <c r="D121">
        <f t="shared" ca="1" si="14"/>
        <v>79</v>
      </c>
      <c r="E121" t="str">
        <f t="shared" ca="1" si="15"/>
        <v>Pacific Islander</v>
      </c>
      <c r="F121" t="str">
        <f t="shared" ca="1" si="16"/>
        <v>AM</v>
      </c>
      <c r="G121" t="str">
        <f t="shared" ca="1" si="17"/>
        <v>Weekday</v>
      </c>
      <c r="H121" t="str">
        <f t="shared" ca="1" si="18"/>
        <v>Patient</v>
      </c>
      <c r="I121" t="str">
        <f t="shared" ca="1" si="19"/>
        <v>Cardiology</v>
      </c>
      <c r="J121">
        <f t="shared" ca="1" si="20"/>
        <v>4</v>
      </c>
      <c r="K121">
        <f t="shared" ca="1" si="21"/>
        <v>33</v>
      </c>
    </row>
    <row r="122" spans="1:11" x14ac:dyDescent="0.3">
      <c r="A122" s="1">
        <f t="shared" ca="1" si="11"/>
        <v>45276</v>
      </c>
      <c r="B122" t="str">
        <f t="shared" si="12"/>
        <v>V0121</v>
      </c>
      <c r="C122" t="str">
        <f t="shared" ca="1" si="13"/>
        <v>Female</v>
      </c>
      <c r="D122">
        <f t="shared" ca="1" si="14"/>
        <v>60</v>
      </c>
      <c r="E122" t="str">
        <f t="shared" ca="1" si="15"/>
        <v>African American</v>
      </c>
      <c r="F122" t="str">
        <f t="shared" ca="1" si="16"/>
        <v>AM</v>
      </c>
      <c r="G122" t="str">
        <f t="shared" ca="1" si="17"/>
        <v>Weekend</v>
      </c>
      <c r="H122" t="str">
        <f t="shared" ca="1" si="18"/>
        <v>Non-Patient</v>
      </c>
      <c r="I122" t="str">
        <f t="shared" ca="1" si="19"/>
        <v>Physiotherapy</v>
      </c>
      <c r="J122">
        <f t="shared" ca="1" si="20"/>
        <v>6</v>
      </c>
      <c r="K122">
        <f t="shared" ca="1" si="21"/>
        <v>14</v>
      </c>
    </row>
    <row r="123" spans="1:11" x14ac:dyDescent="0.3">
      <c r="A123" s="1">
        <f t="shared" ca="1" si="11"/>
        <v>45215</v>
      </c>
      <c r="B123" t="str">
        <f t="shared" si="12"/>
        <v>V0122</v>
      </c>
      <c r="C123" t="str">
        <f t="shared" ca="1" si="13"/>
        <v>Female</v>
      </c>
      <c r="D123">
        <f t="shared" ca="1" si="14"/>
        <v>32</v>
      </c>
      <c r="E123" t="str">
        <f t="shared" ca="1" si="15"/>
        <v>Pacific Islander</v>
      </c>
      <c r="F123" t="str">
        <f t="shared" ca="1" si="16"/>
        <v>PM</v>
      </c>
      <c r="G123" t="str">
        <f t="shared" ca="1" si="17"/>
        <v>Weekday</v>
      </c>
      <c r="H123" t="str">
        <f t="shared" ca="1" si="18"/>
        <v>Non-Patient</v>
      </c>
      <c r="I123" t="str">
        <f t="shared" ca="1" si="19"/>
        <v>Neurology</v>
      </c>
      <c r="J123">
        <f t="shared" ca="1" si="20"/>
        <v>4</v>
      </c>
      <c r="K123">
        <f t="shared" ca="1" si="21"/>
        <v>17</v>
      </c>
    </row>
    <row r="124" spans="1:11" x14ac:dyDescent="0.3">
      <c r="A124" s="1">
        <f t="shared" ca="1" si="11"/>
        <v>45137</v>
      </c>
      <c r="B124" t="str">
        <f t="shared" si="12"/>
        <v>V0123</v>
      </c>
      <c r="C124" t="str">
        <f t="shared" ca="1" si="13"/>
        <v>Male</v>
      </c>
      <c r="D124">
        <f t="shared" ca="1" si="14"/>
        <v>40</v>
      </c>
      <c r="E124" t="str">
        <f t="shared" ca="1" si="15"/>
        <v>African American</v>
      </c>
      <c r="F124" t="str">
        <f t="shared" ca="1" si="16"/>
        <v>AM</v>
      </c>
      <c r="G124" t="str">
        <f t="shared" ca="1" si="17"/>
        <v>Weekend</v>
      </c>
      <c r="H124" t="str">
        <f t="shared" ca="1" si="18"/>
        <v>Non-Patient</v>
      </c>
      <c r="I124" t="str">
        <f t="shared" ca="1" si="19"/>
        <v>Physiotherapy</v>
      </c>
      <c r="J124">
        <f t="shared" ca="1" si="20"/>
        <v>9</v>
      </c>
      <c r="K124">
        <f t="shared" ca="1" si="21"/>
        <v>61</v>
      </c>
    </row>
    <row r="125" spans="1:11" x14ac:dyDescent="0.3">
      <c r="A125" s="1">
        <f t="shared" ca="1" si="11"/>
        <v>45057</v>
      </c>
      <c r="B125" t="str">
        <f t="shared" si="12"/>
        <v>V0124</v>
      </c>
      <c r="C125" t="str">
        <f t="shared" ca="1" si="13"/>
        <v>Male</v>
      </c>
      <c r="D125">
        <f t="shared" ca="1" si="14"/>
        <v>42</v>
      </c>
      <c r="E125" t="str">
        <f t="shared" ca="1" si="15"/>
        <v>Pacific Islander</v>
      </c>
      <c r="F125" t="str">
        <f t="shared" ca="1" si="16"/>
        <v>AM</v>
      </c>
      <c r="G125" t="str">
        <f t="shared" ca="1" si="17"/>
        <v>Weekday</v>
      </c>
      <c r="H125" t="str">
        <f t="shared" ca="1" si="18"/>
        <v>Non-Patient</v>
      </c>
      <c r="I125" t="str">
        <f t="shared" ca="1" si="19"/>
        <v>Orthopedics</v>
      </c>
      <c r="J125">
        <f t="shared" ca="1" si="20"/>
        <v>1</v>
      </c>
      <c r="K125">
        <f t="shared" ca="1" si="21"/>
        <v>89</v>
      </c>
    </row>
    <row r="126" spans="1:11" x14ac:dyDescent="0.3">
      <c r="A126" s="1">
        <f t="shared" ca="1" si="11"/>
        <v>44940</v>
      </c>
      <c r="B126" t="str">
        <f t="shared" si="12"/>
        <v>V0125</v>
      </c>
      <c r="C126" t="str">
        <f t="shared" ca="1" si="13"/>
        <v>Male</v>
      </c>
      <c r="D126">
        <f t="shared" ca="1" si="14"/>
        <v>66</v>
      </c>
      <c r="E126" t="str">
        <f t="shared" ca="1" si="15"/>
        <v>African American</v>
      </c>
      <c r="F126" t="str">
        <f t="shared" ca="1" si="16"/>
        <v>AM</v>
      </c>
      <c r="G126" t="str">
        <f t="shared" ca="1" si="17"/>
        <v>Weekend</v>
      </c>
      <c r="H126" t="str">
        <f t="shared" ca="1" si="18"/>
        <v>Non-Patient</v>
      </c>
      <c r="I126" t="str">
        <f t="shared" ca="1" si="19"/>
        <v>Cardiology</v>
      </c>
      <c r="J126">
        <f t="shared" ca="1" si="20"/>
        <v>9</v>
      </c>
      <c r="K126">
        <f t="shared" ca="1" si="21"/>
        <v>25</v>
      </c>
    </row>
    <row r="127" spans="1:11" x14ac:dyDescent="0.3">
      <c r="A127" s="1">
        <f t="shared" ca="1" si="11"/>
        <v>45171</v>
      </c>
      <c r="B127" t="str">
        <f t="shared" si="12"/>
        <v>V0126</v>
      </c>
      <c r="C127" t="str">
        <f t="shared" ca="1" si="13"/>
        <v>Male</v>
      </c>
      <c r="D127">
        <f t="shared" ca="1" si="14"/>
        <v>38</v>
      </c>
      <c r="E127" t="str">
        <f t="shared" ca="1" si="15"/>
        <v>African American</v>
      </c>
      <c r="F127" t="str">
        <f t="shared" ca="1" si="16"/>
        <v>PM</v>
      </c>
      <c r="G127" t="str">
        <f t="shared" ca="1" si="17"/>
        <v>Weekend</v>
      </c>
      <c r="H127" t="str">
        <f t="shared" ca="1" si="18"/>
        <v>Patient</v>
      </c>
      <c r="I127" t="str">
        <f t="shared" ca="1" si="19"/>
        <v>Physiotherapy</v>
      </c>
      <c r="J127">
        <f t="shared" ca="1" si="20"/>
        <v>10</v>
      </c>
      <c r="K127">
        <f t="shared" ca="1" si="21"/>
        <v>71</v>
      </c>
    </row>
    <row r="128" spans="1:11" x14ac:dyDescent="0.3">
      <c r="A128" s="1">
        <f t="shared" ca="1" si="11"/>
        <v>45039</v>
      </c>
      <c r="B128" t="str">
        <f t="shared" si="12"/>
        <v>V0127</v>
      </c>
      <c r="C128" t="str">
        <f t="shared" ca="1" si="13"/>
        <v>Male</v>
      </c>
      <c r="D128">
        <f t="shared" ca="1" si="14"/>
        <v>56</v>
      </c>
      <c r="E128" t="str">
        <f t="shared" ca="1" si="15"/>
        <v>White</v>
      </c>
      <c r="F128" t="str">
        <f t="shared" ca="1" si="16"/>
        <v>AM</v>
      </c>
      <c r="G128" t="str">
        <f t="shared" ca="1" si="17"/>
        <v>Weekend</v>
      </c>
      <c r="H128" t="str">
        <f t="shared" ca="1" si="18"/>
        <v>Patient</v>
      </c>
      <c r="I128" t="str">
        <f t="shared" ca="1" si="19"/>
        <v>Cardiology</v>
      </c>
      <c r="J128">
        <f t="shared" ca="1" si="20"/>
        <v>7</v>
      </c>
      <c r="K128">
        <f t="shared" ca="1" si="21"/>
        <v>33</v>
      </c>
    </row>
    <row r="129" spans="1:11" x14ac:dyDescent="0.3">
      <c r="A129" s="1">
        <f t="shared" ca="1" si="11"/>
        <v>45281</v>
      </c>
      <c r="B129" t="str">
        <f t="shared" si="12"/>
        <v>V0128</v>
      </c>
      <c r="C129" t="str">
        <f t="shared" ca="1" si="13"/>
        <v>Female</v>
      </c>
      <c r="D129">
        <f t="shared" ca="1" si="14"/>
        <v>44</v>
      </c>
      <c r="E129" t="str">
        <f t="shared" ca="1" si="15"/>
        <v>Pacific Islander</v>
      </c>
      <c r="F129" t="str">
        <f t="shared" ca="1" si="16"/>
        <v>PM</v>
      </c>
      <c r="G129" t="str">
        <f t="shared" ca="1" si="17"/>
        <v>Weekday</v>
      </c>
      <c r="H129" t="str">
        <f t="shared" ca="1" si="18"/>
        <v>Patient</v>
      </c>
      <c r="I129" t="str">
        <f t="shared" ca="1" si="19"/>
        <v>Orthopedics</v>
      </c>
      <c r="J129">
        <f t="shared" ca="1" si="20"/>
        <v>10</v>
      </c>
      <c r="K129">
        <f t="shared" ca="1" si="21"/>
        <v>70</v>
      </c>
    </row>
    <row r="130" spans="1:11" x14ac:dyDescent="0.3">
      <c r="A130" s="1">
        <f t="shared" ca="1" si="11"/>
        <v>45092</v>
      </c>
      <c r="B130" t="str">
        <f t="shared" si="12"/>
        <v>V0129</v>
      </c>
      <c r="C130" t="str">
        <f t="shared" ca="1" si="13"/>
        <v>Male</v>
      </c>
      <c r="D130">
        <f t="shared" ca="1" si="14"/>
        <v>85</v>
      </c>
      <c r="E130" t="str">
        <f t="shared" ca="1" si="15"/>
        <v>White</v>
      </c>
      <c r="F130" t="str">
        <f t="shared" ca="1" si="16"/>
        <v>AM</v>
      </c>
      <c r="G130" t="str">
        <f t="shared" ca="1" si="17"/>
        <v>Weekday</v>
      </c>
      <c r="H130" t="str">
        <f t="shared" ca="1" si="18"/>
        <v>Patient</v>
      </c>
      <c r="I130" t="str">
        <f t="shared" ca="1" si="19"/>
        <v>Cardiology</v>
      </c>
      <c r="J130">
        <f t="shared" ca="1" si="20"/>
        <v>8</v>
      </c>
      <c r="K130">
        <f t="shared" ca="1" si="21"/>
        <v>86</v>
      </c>
    </row>
    <row r="131" spans="1:11" x14ac:dyDescent="0.3">
      <c r="A131" s="1">
        <f t="shared" ref="A131:A194" ca="1" si="22">DATE(2023,1,1)+RANDBETWEEN(0,365)</f>
        <v>44955</v>
      </c>
      <c r="B131" t="str">
        <f t="shared" ref="B131:B194" si="23">"V"&amp;TEXT(ROW(A131)-1,"0000")</f>
        <v>V0130</v>
      </c>
      <c r="C131" t="str">
        <f t="shared" ref="C131:C194" ca="1" si="24">IF(RAND()&gt;0.5,"Male","Female")</f>
        <v>Male</v>
      </c>
      <c r="D131">
        <f t="shared" ref="D131:D194" ca="1" si="25">RANDBETWEEN(1,85)</f>
        <v>30</v>
      </c>
      <c r="E131" t="str">
        <f t="shared" ref="E131:E194" ca="1" si="26">CHOOSE(RANDBETWEEN(1,5),"White","African American","Asian","Pacific Islander","Native American")</f>
        <v>Native American</v>
      </c>
      <c r="F131" t="str">
        <f t="shared" ref="F131:F194" ca="1" si="27">IF(RAND()&gt;0.5,"AM","PM")</f>
        <v>PM</v>
      </c>
      <c r="G131" t="str">
        <f t="shared" ref="G131:G194" ca="1" si="28">IF(WEEKDAY(A131,2)&lt;=5,"Weekday","Weekend")</f>
        <v>Weekend</v>
      </c>
      <c r="H131" t="str">
        <f t="shared" ref="H131:H194" ca="1" si="29">IF(RAND()&gt;0.5,"Patient","Non-Patient")</f>
        <v>Patient</v>
      </c>
      <c r="I131" t="str">
        <f t="shared" ref="I131:I194" ca="1" si="30">CHOOSE(RANDBETWEEN(1,5),"General Practice","Orthopedics","Cardiology","Physiotherapy","Neurology")</f>
        <v>Neurology</v>
      </c>
      <c r="J131">
        <f t="shared" ref="J131:J194" ca="1" si="31">RANDBETWEEN(1,10)</f>
        <v>2</v>
      </c>
      <c r="K131">
        <f t="shared" ref="K131:K194" ca="1" si="32">RANDBETWEEN(10,90)</f>
        <v>69</v>
      </c>
    </row>
    <row r="132" spans="1:11" x14ac:dyDescent="0.3">
      <c r="A132" s="1">
        <f t="shared" ca="1" si="22"/>
        <v>45197</v>
      </c>
      <c r="B132" t="str">
        <f t="shared" si="23"/>
        <v>V0131</v>
      </c>
      <c r="C132" t="str">
        <f t="shared" ca="1" si="24"/>
        <v>Female</v>
      </c>
      <c r="D132">
        <f t="shared" ca="1" si="25"/>
        <v>33</v>
      </c>
      <c r="E132" t="str">
        <f t="shared" ca="1" si="26"/>
        <v>Asian</v>
      </c>
      <c r="F132" t="str">
        <f t="shared" ca="1" si="27"/>
        <v>AM</v>
      </c>
      <c r="G132" t="str">
        <f t="shared" ca="1" si="28"/>
        <v>Weekday</v>
      </c>
      <c r="H132" t="str">
        <f t="shared" ca="1" si="29"/>
        <v>Patient</v>
      </c>
      <c r="I132" t="str">
        <f t="shared" ca="1" si="30"/>
        <v>General Practice</v>
      </c>
      <c r="J132">
        <f t="shared" ca="1" si="31"/>
        <v>1</v>
      </c>
      <c r="K132">
        <f t="shared" ca="1" si="32"/>
        <v>14</v>
      </c>
    </row>
    <row r="133" spans="1:11" x14ac:dyDescent="0.3">
      <c r="A133" s="1">
        <f t="shared" ca="1" si="22"/>
        <v>45037</v>
      </c>
      <c r="B133" t="str">
        <f t="shared" si="23"/>
        <v>V0132</v>
      </c>
      <c r="C133" t="str">
        <f t="shared" ca="1" si="24"/>
        <v>Male</v>
      </c>
      <c r="D133">
        <f t="shared" ca="1" si="25"/>
        <v>35</v>
      </c>
      <c r="E133" t="str">
        <f t="shared" ca="1" si="26"/>
        <v>Native American</v>
      </c>
      <c r="F133" t="str">
        <f t="shared" ca="1" si="27"/>
        <v>AM</v>
      </c>
      <c r="G133" t="str">
        <f t="shared" ca="1" si="28"/>
        <v>Weekday</v>
      </c>
      <c r="H133" t="str">
        <f t="shared" ca="1" si="29"/>
        <v>Non-Patient</v>
      </c>
      <c r="I133" t="str">
        <f t="shared" ca="1" si="30"/>
        <v>General Practice</v>
      </c>
      <c r="J133">
        <f t="shared" ca="1" si="31"/>
        <v>1</v>
      </c>
      <c r="K133">
        <f t="shared" ca="1" si="32"/>
        <v>20</v>
      </c>
    </row>
    <row r="134" spans="1:11" x14ac:dyDescent="0.3">
      <c r="A134" s="1">
        <f t="shared" ca="1" si="22"/>
        <v>45292</v>
      </c>
      <c r="B134" t="str">
        <f t="shared" si="23"/>
        <v>V0133</v>
      </c>
      <c r="C134" t="str">
        <f t="shared" ca="1" si="24"/>
        <v>Female</v>
      </c>
      <c r="D134">
        <f t="shared" ca="1" si="25"/>
        <v>3</v>
      </c>
      <c r="E134" t="str">
        <f t="shared" ca="1" si="26"/>
        <v>Asian</v>
      </c>
      <c r="F134" t="str">
        <f t="shared" ca="1" si="27"/>
        <v>AM</v>
      </c>
      <c r="G134" t="str">
        <f t="shared" ca="1" si="28"/>
        <v>Weekday</v>
      </c>
      <c r="H134" t="str">
        <f t="shared" ca="1" si="29"/>
        <v>Patient</v>
      </c>
      <c r="I134" t="str">
        <f t="shared" ca="1" si="30"/>
        <v>General Practice</v>
      </c>
      <c r="J134">
        <f t="shared" ca="1" si="31"/>
        <v>9</v>
      </c>
      <c r="K134">
        <f t="shared" ca="1" si="32"/>
        <v>53</v>
      </c>
    </row>
    <row r="135" spans="1:11" x14ac:dyDescent="0.3">
      <c r="A135" s="1">
        <f t="shared" ca="1" si="22"/>
        <v>45254</v>
      </c>
      <c r="B135" t="str">
        <f t="shared" si="23"/>
        <v>V0134</v>
      </c>
      <c r="C135" t="str">
        <f t="shared" ca="1" si="24"/>
        <v>Female</v>
      </c>
      <c r="D135">
        <f t="shared" ca="1" si="25"/>
        <v>44</v>
      </c>
      <c r="E135" t="str">
        <f t="shared" ca="1" si="26"/>
        <v>Asian</v>
      </c>
      <c r="F135" t="str">
        <f t="shared" ca="1" si="27"/>
        <v>AM</v>
      </c>
      <c r="G135" t="str">
        <f t="shared" ca="1" si="28"/>
        <v>Weekday</v>
      </c>
      <c r="H135" t="str">
        <f t="shared" ca="1" si="29"/>
        <v>Patient</v>
      </c>
      <c r="I135" t="str">
        <f t="shared" ca="1" si="30"/>
        <v>Cardiology</v>
      </c>
      <c r="J135">
        <f t="shared" ca="1" si="31"/>
        <v>3</v>
      </c>
      <c r="K135">
        <f t="shared" ca="1" si="32"/>
        <v>76</v>
      </c>
    </row>
    <row r="136" spans="1:11" x14ac:dyDescent="0.3">
      <c r="A136" s="1">
        <f t="shared" ca="1" si="22"/>
        <v>45262</v>
      </c>
      <c r="B136" t="str">
        <f t="shared" si="23"/>
        <v>V0135</v>
      </c>
      <c r="C136" t="str">
        <f t="shared" ca="1" si="24"/>
        <v>Female</v>
      </c>
      <c r="D136">
        <f t="shared" ca="1" si="25"/>
        <v>84</v>
      </c>
      <c r="E136" t="str">
        <f t="shared" ca="1" si="26"/>
        <v>African American</v>
      </c>
      <c r="F136" t="str">
        <f t="shared" ca="1" si="27"/>
        <v>AM</v>
      </c>
      <c r="G136" t="str">
        <f t="shared" ca="1" si="28"/>
        <v>Weekend</v>
      </c>
      <c r="H136" t="str">
        <f t="shared" ca="1" si="29"/>
        <v>Patient</v>
      </c>
      <c r="I136" t="str">
        <f t="shared" ca="1" si="30"/>
        <v>Orthopedics</v>
      </c>
      <c r="J136">
        <f t="shared" ca="1" si="31"/>
        <v>4</v>
      </c>
      <c r="K136">
        <f t="shared" ca="1" si="32"/>
        <v>29</v>
      </c>
    </row>
    <row r="137" spans="1:11" x14ac:dyDescent="0.3">
      <c r="A137" s="1">
        <f t="shared" ca="1" si="22"/>
        <v>45273</v>
      </c>
      <c r="B137" t="str">
        <f t="shared" si="23"/>
        <v>V0136</v>
      </c>
      <c r="C137" t="str">
        <f t="shared" ca="1" si="24"/>
        <v>Male</v>
      </c>
      <c r="D137">
        <f t="shared" ca="1" si="25"/>
        <v>64</v>
      </c>
      <c r="E137" t="str">
        <f t="shared" ca="1" si="26"/>
        <v>White</v>
      </c>
      <c r="F137" t="str">
        <f t="shared" ca="1" si="27"/>
        <v>AM</v>
      </c>
      <c r="G137" t="str">
        <f t="shared" ca="1" si="28"/>
        <v>Weekday</v>
      </c>
      <c r="H137" t="str">
        <f t="shared" ca="1" si="29"/>
        <v>Patient</v>
      </c>
      <c r="I137" t="str">
        <f t="shared" ca="1" si="30"/>
        <v>General Practice</v>
      </c>
      <c r="J137">
        <f t="shared" ca="1" si="31"/>
        <v>1</v>
      </c>
      <c r="K137">
        <f t="shared" ca="1" si="32"/>
        <v>60</v>
      </c>
    </row>
    <row r="138" spans="1:11" x14ac:dyDescent="0.3">
      <c r="A138" s="1">
        <f t="shared" ca="1" si="22"/>
        <v>44986</v>
      </c>
      <c r="B138" t="str">
        <f t="shared" si="23"/>
        <v>V0137</v>
      </c>
      <c r="C138" t="str">
        <f t="shared" ca="1" si="24"/>
        <v>Female</v>
      </c>
      <c r="D138">
        <f t="shared" ca="1" si="25"/>
        <v>66</v>
      </c>
      <c r="E138" t="str">
        <f t="shared" ca="1" si="26"/>
        <v>Pacific Islander</v>
      </c>
      <c r="F138" t="str">
        <f t="shared" ca="1" si="27"/>
        <v>AM</v>
      </c>
      <c r="G138" t="str">
        <f t="shared" ca="1" si="28"/>
        <v>Weekday</v>
      </c>
      <c r="H138" t="str">
        <f t="shared" ca="1" si="29"/>
        <v>Non-Patient</v>
      </c>
      <c r="I138" t="str">
        <f t="shared" ca="1" si="30"/>
        <v>Cardiology</v>
      </c>
      <c r="J138">
        <f t="shared" ca="1" si="31"/>
        <v>4</v>
      </c>
      <c r="K138">
        <f t="shared" ca="1" si="32"/>
        <v>57</v>
      </c>
    </row>
    <row r="139" spans="1:11" x14ac:dyDescent="0.3">
      <c r="A139" s="1">
        <f t="shared" ca="1" si="22"/>
        <v>44967</v>
      </c>
      <c r="B139" t="str">
        <f t="shared" si="23"/>
        <v>V0138</v>
      </c>
      <c r="C139" t="str">
        <f t="shared" ca="1" si="24"/>
        <v>Female</v>
      </c>
      <c r="D139">
        <f t="shared" ca="1" si="25"/>
        <v>76</v>
      </c>
      <c r="E139" t="str">
        <f t="shared" ca="1" si="26"/>
        <v>Pacific Islander</v>
      </c>
      <c r="F139" t="str">
        <f t="shared" ca="1" si="27"/>
        <v>AM</v>
      </c>
      <c r="G139" t="str">
        <f t="shared" ca="1" si="28"/>
        <v>Weekday</v>
      </c>
      <c r="H139" t="str">
        <f t="shared" ca="1" si="29"/>
        <v>Patient</v>
      </c>
      <c r="I139" t="str">
        <f t="shared" ca="1" si="30"/>
        <v>Physiotherapy</v>
      </c>
      <c r="J139">
        <f t="shared" ca="1" si="31"/>
        <v>10</v>
      </c>
      <c r="K139">
        <f t="shared" ca="1" si="32"/>
        <v>66</v>
      </c>
    </row>
    <row r="140" spans="1:11" x14ac:dyDescent="0.3">
      <c r="A140" s="1">
        <f t="shared" ca="1" si="22"/>
        <v>45233</v>
      </c>
      <c r="B140" t="str">
        <f t="shared" si="23"/>
        <v>V0139</v>
      </c>
      <c r="C140" t="str">
        <f t="shared" ca="1" si="24"/>
        <v>Female</v>
      </c>
      <c r="D140">
        <f t="shared" ca="1" si="25"/>
        <v>63</v>
      </c>
      <c r="E140" t="str">
        <f t="shared" ca="1" si="26"/>
        <v>Native American</v>
      </c>
      <c r="F140" t="str">
        <f t="shared" ca="1" si="27"/>
        <v>PM</v>
      </c>
      <c r="G140" t="str">
        <f t="shared" ca="1" si="28"/>
        <v>Weekday</v>
      </c>
      <c r="H140" t="str">
        <f t="shared" ca="1" si="29"/>
        <v>Non-Patient</v>
      </c>
      <c r="I140" t="str">
        <f t="shared" ca="1" si="30"/>
        <v>General Practice</v>
      </c>
      <c r="J140">
        <f t="shared" ca="1" si="31"/>
        <v>8</v>
      </c>
      <c r="K140">
        <f t="shared" ca="1" si="32"/>
        <v>74</v>
      </c>
    </row>
    <row r="141" spans="1:11" x14ac:dyDescent="0.3">
      <c r="A141" s="1">
        <f t="shared" ca="1" si="22"/>
        <v>44930</v>
      </c>
      <c r="B141" t="str">
        <f t="shared" si="23"/>
        <v>V0140</v>
      </c>
      <c r="C141" t="str">
        <f t="shared" ca="1" si="24"/>
        <v>Female</v>
      </c>
      <c r="D141">
        <f t="shared" ca="1" si="25"/>
        <v>13</v>
      </c>
      <c r="E141" t="str">
        <f t="shared" ca="1" si="26"/>
        <v>White</v>
      </c>
      <c r="F141" t="str">
        <f t="shared" ca="1" si="27"/>
        <v>PM</v>
      </c>
      <c r="G141" t="str">
        <f t="shared" ca="1" si="28"/>
        <v>Weekday</v>
      </c>
      <c r="H141" t="str">
        <f t="shared" ca="1" si="29"/>
        <v>Non-Patient</v>
      </c>
      <c r="I141" t="str">
        <f t="shared" ca="1" si="30"/>
        <v>Physiotherapy</v>
      </c>
      <c r="J141">
        <f t="shared" ca="1" si="31"/>
        <v>9</v>
      </c>
      <c r="K141">
        <f t="shared" ca="1" si="32"/>
        <v>13</v>
      </c>
    </row>
    <row r="142" spans="1:11" x14ac:dyDescent="0.3">
      <c r="A142" s="1">
        <f t="shared" ca="1" si="22"/>
        <v>45065</v>
      </c>
      <c r="B142" t="str">
        <f t="shared" si="23"/>
        <v>V0141</v>
      </c>
      <c r="C142" t="str">
        <f t="shared" ca="1" si="24"/>
        <v>Male</v>
      </c>
      <c r="D142">
        <f t="shared" ca="1" si="25"/>
        <v>11</v>
      </c>
      <c r="E142" t="str">
        <f t="shared" ca="1" si="26"/>
        <v>Pacific Islander</v>
      </c>
      <c r="F142" t="str">
        <f t="shared" ca="1" si="27"/>
        <v>PM</v>
      </c>
      <c r="G142" t="str">
        <f t="shared" ca="1" si="28"/>
        <v>Weekday</v>
      </c>
      <c r="H142" t="str">
        <f t="shared" ca="1" si="29"/>
        <v>Non-Patient</v>
      </c>
      <c r="I142" t="str">
        <f t="shared" ca="1" si="30"/>
        <v>Orthopedics</v>
      </c>
      <c r="J142">
        <f t="shared" ca="1" si="31"/>
        <v>8</v>
      </c>
      <c r="K142">
        <f t="shared" ca="1" si="32"/>
        <v>30</v>
      </c>
    </row>
    <row r="143" spans="1:11" x14ac:dyDescent="0.3">
      <c r="A143" s="1">
        <f t="shared" ca="1" si="22"/>
        <v>45113</v>
      </c>
      <c r="B143" t="str">
        <f t="shared" si="23"/>
        <v>V0142</v>
      </c>
      <c r="C143" t="str">
        <f t="shared" ca="1" si="24"/>
        <v>Male</v>
      </c>
      <c r="D143">
        <f t="shared" ca="1" si="25"/>
        <v>75</v>
      </c>
      <c r="E143" t="str">
        <f t="shared" ca="1" si="26"/>
        <v>Pacific Islander</v>
      </c>
      <c r="F143" t="str">
        <f t="shared" ca="1" si="27"/>
        <v>AM</v>
      </c>
      <c r="G143" t="str">
        <f t="shared" ca="1" si="28"/>
        <v>Weekday</v>
      </c>
      <c r="H143" t="str">
        <f t="shared" ca="1" si="29"/>
        <v>Non-Patient</v>
      </c>
      <c r="I143" t="str">
        <f t="shared" ca="1" si="30"/>
        <v>Cardiology</v>
      </c>
      <c r="J143">
        <f t="shared" ca="1" si="31"/>
        <v>7</v>
      </c>
      <c r="K143">
        <f t="shared" ca="1" si="32"/>
        <v>46</v>
      </c>
    </row>
    <row r="144" spans="1:11" x14ac:dyDescent="0.3">
      <c r="A144" s="1">
        <f t="shared" ca="1" si="22"/>
        <v>45168</v>
      </c>
      <c r="B144" t="str">
        <f t="shared" si="23"/>
        <v>V0143</v>
      </c>
      <c r="C144" t="str">
        <f t="shared" ca="1" si="24"/>
        <v>Female</v>
      </c>
      <c r="D144">
        <f t="shared" ca="1" si="25"/>
        <v>73</v>
      </c>
      <c r="E144" t="str">
        <f t="shared" ca="1" si="26"/>
        <v>Native American</v>
      </c>
      <c r="F144" t="str">
        <f t="shared" ca="1" si="27"/>
        <v>PM</v>
      </c>
      <c r="G144" t="str">
        <f t="shared" ca="1" si="28"/>
        <v>Weekday</v>
      </c>
      <c r="H144" t="str">
        <f t="shared" ca="1" si="29"/>
        <v>Non-Patient</v>
      </c>
      <c r="I144" t="str">
        <f t="shared" ca="1" si="30"/>
        <v>Orthopedics</v>
      </c>
      <c r="J144">
        <f t="shared" ca="1" si="31"/>
        <v>5</v>
      </c>
      <c r="K144">
        <f t="shared" ca="1" si="32"/>
        <v>89</v>
      </c>
    </row>
    <row r="145" spans="1:11" x14ac:dyDescent="0.3">
      <c r="A145" s="1">
        <f t="shared" ca="1" si="22"/>
        <v>45041</v>
      </c>
      <c r="B145" t="str">
        <f t="shared" si="23"/>
        <v>V0144</v>
      </c>
      <c r="C145" t="str">
        <f t="shared" ca="1" si="24"/>
        <v>Male</v>
      </c>
      <c r="D145">
        <f t="shared" ca="1" si="25"/>
        <v>10</v>
      </c>
      <c r="E145" t="str">
        <f t="shared" ca="1" si="26"/>
        <v>White</v>
      </c>
      <c r="F145" t="str">
        <f t="shared" ca="1" si="27"/>
        <v>PM</v>
      </c>
      <c r="G145" t="str">
        <f t="shared" ca="1" si="28"/>
        <v>Weekday</v>
      </c>
      <c r="H145" t="str">
        <f t="shared" ca="1" si="29"/>
        <v>Non-Patient</v>
      </c>
      <c r="I145" t="str">
        <f t="shared" ca="1" si="30"/>
        <v>Orthopedics</v>
      </c>
      <c r="J145">
        <f t="shared" ca="1" si="31"/>
        <v>8</v>
      </c>
      <c r="K145">
        <f t="shared" ca="1" si="32"/>
        <v>13</v>
      </c>
    </row>
    <row r="146" spans="1:11" x14ac:dyDescent="0.3">
      <c r="A146" s="1">
        <f t="shared" ca="1" si="22"/>
        <v>45089</v>
      </c>
      <c r="B146" t="str">
        <f t="shared" si="23"/>
        <v>V0145</v>
      </c>
      <c r="C146" t="str">
        <f t="shared" ca="1" si="24"/>
        <v>Female</v>
      </c>
      <c r="D146">
        <f t="shared" ca="1" si="25"/>
        <v>19</v>
      </c>
      <c r="E146" t="str">
        <f t="shared" ca="1" si="26"/>
        <v>Native American</v>
      </c>
      <c r="F146" t="str">
        <f t="shared" ca="1" si="27"/>
        <v>PM</v>
      </c>
      <c r="G146" t="str">
        <f t="shared" ca="1" si="28"/>
        <v>Weekday</v>
      </c>
      <c r="H146" t="str">
        <f t="shared" ca="1" si="29"/>
        <v>Patient</v>
      </c>
      <c r="I146" t="str">
        <f t="shared" ca="1" si="30"/>
        <v>Physiotherapy</v>
      </c>
      <c r="J146">
        <f t="shared" ca="1" si="31"/>
        <v>8</v>
      </c>
      <c r="K146">
        <f t="shared" ca="1" si="32"/>
        <v>82</v>
      </c>
    </row>
    <row r="147" spans="1:11" x14ac:dyDescent="0.3">
      <c r="A147" s="1">
        <f t="shared" ca="1" si="22"/>
        <v>45038</v>
      </c>
      <c r="B147" t="str">
        <f t="shared" si="23"/>
        <v>V0146</v>
      </c>
      <c r="C147" t="str">
        <f t="shared" ca="1" si="24"/>
        <v>Male</v>
      </c>
      <c r="D147">
        <f t="shared" ca="1" si="25"/>
        <v>27</v>
      </c>
      <c r="E147" t="str">
        <f t="shared" ca="1" si="26"/>
        <v>Pacific Islander</v>
      </c>
      <c r="F147" t="str">
        <f t="shared" ca="1" si="27"/>
        <v>PM</v>
      </c>
      <c r="G147" t="str">
        <f t="shared" ca="1" si="28"/>
        <v>Weekend</v>
      </c>
      <c r="H147" t="str">
        <f t="shared" ca="1" si="29"/>
        <v>Non-Patient</v>
      </c>
      <c r="I147" t="str">
        <f t="shared" ca="1" si="30"/>
        <v>Orthopedics</v>
      </c>
      <c r="J147">
        <f t="shared" ca="1" si="31"/>
        <v>9</v>
      </c>
      <c r="K147">
        <f t="shared" ca="1" si="32"/>
        <v>53</v>
      </c>
    </row>
    <row r="148" spans="1:11" x14ac:dyDescent="0.3">
      <c r="A148" s="1">
        <f t="shared" ca="1" si="22"/>
        <v>44959</v>
      </c>
      <c r="B148" t="str">
        <f t="shared" si="23"/>
        <v>V0147</v>
      </c>
      <c r="C148" t="str">
        <f t="shared" ca="1" si="24"/>
        <v>Male</v>
      </c>
      <c r="D148">
        <f t="shared" ca="1" si="25"/>
        <v>10</v>
      </c>
      <c r="E148" t="str">
        <f t="shared" ca="1" si="26"/>
        <v>Native American</v>
      </c>
      <c r="F148" t="str">
        <f t="shared" ca="1" si="27"/>
        <v>AM</v>
      </c>
      <c r="G148" t="str">
        <f t="shared" ca="1" si="28"/>
        <v>Weekday</v>
      </c>
      <c r="H148" t="str">
        <f t="shared" ca="1" si="29"/>
        <v>Non-Patient</v>
      </c>
      <c r="I148" t="str">
        <f t="shared" ca="1" si="30"/>
        <v>Physiotherapy</v>
      </c>
      <c r="J148">
        <f t="shared" ca="1" si="31"/>
        <v>4</v>
      </c>
      <c r="K148">
        <f t="shared" ca="1" si="32"/>
        <v>19</v>
      </c>
    </row>
    <row r="149" spans="1:11" x14ac:dyDescent="0.3">
      <c r="A149" s="1">
        <f t="shared" ca="1" si="22"/>
        <v>45256</v>
      </c>
      <c r="B149" t="str">
        <f t="shared" si="23"/>
        <v>V0148</v>
      </c>
      <c r="C149" t="str">
        <f t="shared" ca="1" si="24"/>
        <v>Male</v>
      </c>
      <c r="D149">
        <f t="shared" ca="1" si="25"/>
        <v>18</v>
      </c>
      <c r="E149" t="str">
        <f t="shared" ca="1" si="26"/>
        <v>African American</v>
      </c>
      <c r="F149" t="str">
        <f t="shared" ca="1" si="27"/>
        <v>AM</v>
      </c>
      <c r="G149" t="str">
        <f t="shared" ca="1" si="28"/>
        <v>Weekend</v>
      </c>
      <c r="H149" t="str">
        <f t="shared" ca="1" si="29"/>
        <v>Patient</v>
      </c>
      <c r="I149" t="str">
        <f t="shared" ca="1" si="30"/>
        <v>Orthopedics</v>
      </c>
      <c r="J149">
        <f t="shared" ca="1" si="31"/>
        <v>8</v>
      </c>
      <c r="K149">
        <f t="shared" ca="1" si="32"/>
        <v>22</v>
      </c>
    </row>
    <row r="150" spans="1:11" x14ac:dyDescent="0.3">
      <c r="A150" s="1">
        <f t="shared" ca="1" si="22"/>
        <v>45147</v>
      </c>
      <c r="B150" t="str">
        <f t="shared" si="23"/>
        <v>V0149</v>
      </c>
      <c r="C150" t="str">
        <f t="shared" ca="1" si="24"/>
        <v>Male</v>
      </c>
      <c r="D150">
        <f t="shared" ca="1" si="25"/>
        <v>65</v>
      </c>
      <c r="E150" t="str">
        <f t="shared" ca="1" si="26"/>
        <v>Pacific Islander</v>
      </c>
      <c r="F150" t="str">
        <f t="shared" ca="1" si="27"/>
        <v>PM</v>
      </c>
      <c r="G150" t="str">
        <f t="shared" ca="1" si="28"/>
        <v>Weekday</v>
      </c>
      <c r="H150" t="str">
        <f t="shared" ca="1" si="29"/>
        <v>Patient</v>
      </c>
      <c r="I150" t="str">
        <f t="shared" ca="1" si="30"/>
        <v>Orthopedics</v>
      </c>
      <c r="J150">
        <f t="shared" ca="1" si="31"/>
        <v>7</v>
      </c>
      <c r="K150">
        <f t="shared" ca="1" si="32"/>
        <v>12</v>
      </c>
    </row>
    <row r="151" spans="1:11" x14ac:dyDescent="0.3">
      <c r="A151" s="1">
        <f t="shared" ca="1" si="22"/>
        <v>45265</v>
      </c>
      <c r="B151" t="str">
        <f t="shared" si="23"/>
        <v>V0150</v>
      </c>
      <c r="C151" t="str">
        <f t="shared" ca="1" si="24"/>
        <v>Female</v>
      </c>
      <c r="D151">
        <f t="shared" ca="1" si="25"/>
        <v>46</v>
      </c>
      <c r="E151" t="str">
        <f t="shared" ca="1" si="26"/>
        <v>Native American</v>
      </c>
      <c r="F151" t="str">
        <f t="shared" ca="1" si="27"/>
        <v>PM</v>
      </c>
      <c r="G151" t="str">
        <f t="shared" ca="1" si="28"/>
        <v>Weekday</v>
      </c>
      <c r="H151" t="str">
        <f t="shared" ca="1" si="29"/>
        <v>Non-Patient</v>
      </c>
      <c r="I151" t="str">
        <f t="shared" ca="1" si="30"/>
        <v>Cardiology</v>
      </c>
      <c r="J151">
        <f t="shared" ca="1" si="31"/>
        <v>10</v>
      </c>
      <c r="K151">
        <f t="shared" ca="1" si="32"/>
        <v>67</v>
      </c>
    </row>
    <row r="152" spans="1:11" x14ac:dyDescent="0.3">
      <c r="A152" s="1">
        <f t="shared" ca="1" si="22"/>
        <v>45100</v>
      </c>
      <c r="B152" t="str">
        <f t="shared" si="23"/>
        <v>V0151</v>
      </c>
      <c r="C152" t="str">
        <f t="shared" ca="1" si="24"/>
        <v>Female</v>
      </c>
      <c r="D152">
        <f t="shared" ca="1" si="25"/>
        <v>49</v>
      </c>
      <c r="E152" t="str">
        <f t="shared" ca="1" si="26"/>
        <v>White</v>
      </c>
      <c r="F152" t="str">
        <f t="shared" ca="1" si="27"/>
        <v>PM</v>
      </c>
      <c r="G152" t="str">
        <f t="shared" ca="1" si="28"/>
        <v>Weekday</v>
      </c>
      <c r="H152" t="str">
        <f t="shared" ca="1" si="29"/>
        <v>Patient</v>
      </c>
      <c r="I152" t="str">
        <f t="shared" ca="1" si="30"/>
        <v>Cardiology</v>
      </c>
      <c r="J152">
        <f t="shared" ca="1" si="31"/>
        <v>5</v>
      </c>
      <c r="K152">
        <f t="shared" ca="1" si="32"/>
        <v>72</v>
      </c>
    </row>
    <row r="153" spans="1:11" x14ac:dyDescent="0.3">
      <c r="A153" s="1">
        <f t="shared" ca="1" si="22"/>
        <v>45184</v>
      </c>
      <c r="B153" t="str">
        <f t="shared" si="23"/>
        <v>V0152</v>
      </c>
      <c r="C153" t="str">
        <f t="shared" ca="1" si="24"/>
        <v>Female</v>
      </c>
      <c r="D153">
        <f t="shared" ca="1" si="25"/>
        <v>47</v>
      </c>
      <c r="E153" t="str">
        <f t="shared" ca="1" si="26"/>
        <v>Pacific Islander</v>
      </c>
      <c r="F153" t="str">
        <f t="shared" ca="1" si="27"/>
        <v>PM</v>
      </c>
      <c r="G153" t="str">
        <f t="shared" ca="1" si="28"/>
        <v>Weekday</v>
      </c>
      <c r="H153" t="str">
        <f t="shared" ca="1" si="29"/>
        <v>Non-Patient</v>
      </c>
      <c r="I153" t="str">
        <f t="shared" ca="1" si="30"/>
        <v>General Practice</v>
      </c>
      <c r="J153">
        <f t="shared" ca="1" si="31"/>
        <v>3</v>
      </c>
      <c r="K153">
        <f t="shared" ca="1" si="32"/>
        <v>62</v>
      </c>
    </row>
    <row r="154" spans="1:11" x14ac:dyDescent="0.3">
      <c r="A154" s="1">
        <f t="shared" ca="1" si="22"/>
        <v>44973</v>
      </c>
      <c r="B154" t="str">
        <f t="shared" si="23"/>
        <v>V0153</v>
      </c>
      <c r="C154" t="str">
        <f t="shared" ca="1" si="24"/>
        <v>Female</v>
      </c>
      <c r="D154">
        <f t="shared" ca="1" si="25"/>
        <v>21</v>
      </c>
      <c r="E154" t="str">
        <f t="shared" ca="1" si="26"/>
        <v>Pacific Islander</v>
      </c>
      <c r="F154" t="str">
        <f t="shared" ca="1" si="27"/>
        <v>AM</v>
      </c>
      <c r="G154" t="str">
        <f t="shared" ca="1" si="28"/>
        <v>Weekday</v>
      </c>
      <c r="H154" t="str">
        <f t="shared" ca="1" si="29"/>
        <v>Non-Patient</v>
      </c>
      <c r="I154" t="str">
        <f t="shared" ca="1" si="30"/>
        <v>Cardiology</v>
      </c>
      <c r="J154">
        <f t="shared" ca="1" si="31"/>
        <v>2</v>
      </c>
      <c r="K154">
        <f t="shared" ca="1" si="32"/>
        <v>18</v>
      </c>
    </row>
    <row r="155" spans="1:11" x14ac:dyDescent="0.3">
      <c r="A155" s="1">
        <f t="shared" ca="1" si="22"/>
        <v>45251</v>
      </c>
      <c r="B155" t="str">
        <f t="shared" si="23"/>
        <v>V0154</v>
      </c>
      <c r="C155" t="str">
        <f t="shared" ca="1" si="24"/>
        <v>Female</v>
      </c>
      <c r="D155">
        <f t="shared" ca="1" si="25"/>
        <v>79</v>
      </c>
      <c r="E155" t="str">
        <f t="shared" ca="1" si="26"/>
        <v>Pacific Islander</v>
      </c>
      <c r="F155" t="str">
        <f t="shared" ca="1" si="27"/>
        <v>PM</v>
      </c>
      <c r="G155" t="str">
        <f t="shared" ca="1" si="28"/>
        <v>Weekday</v>
      </c>
      <c r="H155" t="str">
        <f t="shared" ca="1" si="29"/>
        <v>Non-Patient</v>
      </c>
      <c r="I155" t="str">
        <f t="shared" ca="1" si="30"/>
        <v>General Practice</v>
      </c>
      <c r="J155">
        <f t="shared" ca="1" si="31"/>
        <v>9</v>
      </c>
      <c r="K155">
        <f t="shared" ca="1" si="32"/>
        <v>68</v>
      </c>
    </row>
    <row r="156" spans="1:11" x14ac:dyDescent="0.3">
      <c r="A156" s="1">
        <f t="shared" ca="1" si="22"/>
        <v>45098</v>
      </c>
      <c r="B156" t="str">
        <f t="shared" si="23"/>
        <v>V0155</v>
      </c>
      <c r="C156" t="str">
        <f t="shared" ca="1" si="24"/>
        <v>Female</v>
      </c>
      <c r="D156">
        <f t="shared" ca="1" si="25"/>
        <v>78</v>
      </c>
      <c r="E156" t="str">
        <f t="shared" ca="1" si="26"/>
        <v>African American</v>
      </c>
      <c r="F156" t="str">
        <f t="shared" ca="1" si="27"/>
        <v>PM</v>
      </c>
      <c r="G156" t="str">
        <f t="shared" ca="1" si="28"/>
        <v>Weekday</v>
      </c>
      <c r="H156" t="str">
        <f t="shared" ca="1" si="29"/>
        <v>Patient</v>
      </c>
      <c r="I156" t="str">
        <f t="shared" ca="1" si="30"/>
        <v>Cardiology</v>
      </c>
      <c r="J156">
        <f t="shared" ca="1" si="31"/>
        <v>7</v>
      </c>
      <c r="K156">
        <f t="shared" ca="1" si="32"/>
        <v>84</v>
      </c>
    </row>
    <row r="157" spans="1:11" x14ac:dyDescent="0.3">
      <c r="A157" s="1">
        <f t="shared" ca="1" si="22"/>
        <v>45211</v>
      </c>
      <c r="B157" t="str">
        <f t="shared" si="23"/>
        <v>V0156</v>
      </c>
      <c r="C157" t="str">
        <f t="shared" ca="1" si="24"/>
        <v>Male</v>
      </c>
      <c r="D157">
        <f t="shared" ca="1" si="25"/>
        <v>13</v>
      </c>
      <c r="E157" t="str">
        <f t="shared" ca="1" si="26"/>
        <v>White</v>
      </c>
      <c r="F157" t="str">
        <f t="shared" ca="1" si="27"/>
        <v>AM</v>
      </c>
      <c r="G157" t="str">
        <f t="shared" ca="1" si="28"/>
        <v>Weekday</v>
      </c>
      <c r="H157" t="str">
        <f t="shared" ca="1" si="29"/>
        <v>Patient</v>
      </c>
      <c r="I157" t="str">
        <f t="shared" ca="1" si="30"/>
        <v>Physiotherapy</v>
      </c>
      <c r="J157">
        <f t="shared" ca="1" si="31"/>
        <v>4</v>
      </c>
      <c r="K157">
        <f t="shared" ca="1" si="32"/>
        <v>68</v>
      </c>
    </row>
    <row r="158" spans="1:11" x14ac:dyDescent="0.3">
      <c r="A158" s="1">
        <f t="shared" ca="1" si="22"/>
        <v>45124</v>
      </c>
      <c r="B158" t="str">
        <f t="shared" si="23"/>
        <v>V0157</v>
      </c>
      <c r="C158" t="str">
        <f t="shared" ca="1" si="24"/>
        <v>Male</v>
      </c>
      <c r="D158">
        <f t="shared" ca="1" si="25"/>
        <v>49</v>
      </c>
      <c r="E158" t="str">
        <f t="shared" ca="1" si="26"/>
        <v>Asian</v>
      </c>
      <c r="F158" t="str">
        <f t="shared" ca="1" si="27"/>
        <v>PM</v>
      </c>
      <c r="G158" t="str">
        <f t="shared" ca="1" si="28"/>
        <v>Weekday</v>
      </c>
      <c r="H158" t="str">
        <f t="shared" ca="1" si="29"/>
        <v>Non-Patient</v>
      </c>
      <c r="I158" t="str">
        <f t="shared" ca="1" si="30"/>
        <v>Orthopedics</v>
      </c>
      <c r="J158">
        <f t="shared" ca="1" si="31"/>
        <v>9</v>
      </c>
      <c r="K158">
        <f t="shared" ca="1" si="32"/>
        <v>82</v>
      </c>
    </row>
    <row r="159" spans="1:11" x14ac:dyDescent="0.3">
      <c r="A159" s="1">
        <f t="shared" ca="1" si="22"/>
        <v>45058</v>
      </c>
      <c r="B159" t="str">
        <f t="shared" si="23"/>
        <v>V0158</v>
      </c>
      <c r="C159" t="str">
        <f t="shared" ca="1" si="24"/>
        <v>Female</v>
      </c>
      <c r="D159">
        <f t="shared" ca="1" si="25"/>
        <v>62</v>
      </c>
      <c r="E159" t="str">
        <f t="shared" ca="1" si="26"/>
        <v>Native American</v>
      </c>
      <c r="F159" t="str">
        <f t="shared" ca="1" si="27"/>
        <v>AM</v>
      </c>
      <c r="G159" t="str">
        <f t="shared" ca="1" si="28"/>
        <v>Weekday</v>
      </c>
      <c r="H159" t="str">
        <f t="shared" ca="1" si="29"/>
        <v>Non-Patient</v>
      </c>
      <c r="I159" t="str">
        <f t="shared" ca="1" si="30"/>
        <v>Cardiology</v>
      </c>
      <c r="J159">
        <f t="shared" ca="1" si="31"/>
        <v>9</v>
      </c>
      <c r="K159">
        <f t="shared" ca="1" si="32"/>
        <v>82</v>
      </c>
    </row>
    <row r="160" spans="1:11" x14ac:dyDescent="0.3">
      <c r="A160" s="1">
        <f t="shared" ca="1" si="22"/>
        <v>45156</v>
      </c>
      <c r="B160" t="str">
        <f t="shared" si="23"/>
        <v>V0159</v>
      </c>
      <c r="C160" t="str">
        <f t="shared" ca="1" si="24"/>
        <v>Female</v>
      </c>
      <c r="D160">
        <f t="shared" ca="1" si="25"/>
        <v>68</v>
      </c>
      <c r="E160" t="str">
        <f t="shared" ca="1" si="26"/>
        <v>African American</v>
      </c>
      <c r="F160" t="str">
        <f t="shared" ca="1" si="27"/>
        <v>PM</v>
      </c>
      <c r="G160" t="str">
        <f t="shared" ca="1" si="28"/>
        <v>Weekday</v>
      </c>
      <c r="H160" t="str">
        <f t="shared" ca="1" si="29"/>
        <v>Patient</v>
      </c>
      <c r="I160" t="str">
        <f t="shared" ca="1" si="30"/>
        <v>Orthopedics</v>
      </c>
      <c r="J160">
        <f t="shared" ca="1" si="31"/>
        <v>1</v>
      </c>
      <c r="K160">
        <f t="shared" ca="1" si="32"/>
        <v>46</v>
      </c>
    </row>
    <row r="161" spans="1:11" x14ac:dyDescent="0.3">
      <c r="A161" s="1">
        <f t="shared" ca="1" si="22"/>
        <v>45278</v>
      </c>
      <c r="B161" t="str">
        <f t="shared" si="23"/>
        <v>V0160</v>
      </c>
      <c r="C161" t="str">
        <f t="shared" ca="1" si="24"/>
        <v>Female</v>
      </c>
      <c r="D161">
        <f t="shared" ca="1" si="25"/>
        <v>55</v>
      </c>
      <c r="E161" t="str">
        <f t="shared" ca="1" si="26"/>
        <v>Pacific Islander</v>
      </c>
      <c r="F161" t="str">
        <f t="shared" ca="1" si="27"/>
        <v>PM</v>
      </c>
      <c r="G161" t="str">
        <f t="shared" ca="1" si="28"/>
        <v>Weekday</v>
      </c>
      <c r="H161" t="str">
        <f t="shared" ca="1" si="29"/>
        <v>Patient</v>
      </c>
      <c r="I161" t="str">
        <f t="shared" ca="1" si="30"/>
        <v>Cardiology</v>
      </c>
      <c r="J161">
        <f t="shared" ca="1" si="31"/>
        <v>2</v>
      </c>
      <c r="K161">
        <f t="shared" ca="1" si="32"/>
        <v>41</v>
      </c>
    </row>
    <row r="162" spans="1:11" x14ac:dyDescent="0.3">
      <c r="A162" s="1">
        <f t="shared" ca="1" si="22"/>
        <v>45191</v>
      </c>
      <c r="B162" t="str">
        <f t="shared" si="23"/>
        <v>V0161</v>
      </c>
      <c r="C162" t="str">
        <f t="shared" ca="1" si="24"/>
        <v>Female</v>
      </c>
      <c r="D162">
        <f t="shared" ca="1" si="25"/>
        <v>36</v>
      </c>
      <c r="E162" t="str">
        <f t="shared" ca="1" si="26"/>
        <v>Asian</v>
      </c>
      <c r="F162" t="str">
        <f t="shared" ca="1" si="27"/>
        <v>AM</v>
      </c>
      <c r="G162" t="str">
        <f t="shared" ca="1" si="28"/>
        <v>Weekday</v>
      </c>
      <c r="H162" t="str">
        <f t="shared" ca="1" si="29"/>
        <v>Patient</v>
      </c>
      <c r="I162" t="str">
        <f t="shared" ca="1" si="30"/>
        <v>Physiotherapy</v>
      </c>
      <c r="J162">
        <f t="shared" ca="1" si="31"/>
        <v>5</v>
      </c>
      <c r="K162">
        <f t="shared" ca="1" si="32"/>
        <v>47</v>
      </c>
    </row>
    <row r="163" spans="1:11" x14ac:dyDescent="0.3">
      <c r="A163" s="1">
        <f t="shared" ca="1" si="22"/>
        <v>45057</v>
      </c>
      <c r="B163" t="str">
        <f t="shared" si="23"/>
        <v>V0162</v>
      </c>
      <c r="C163" t="str">
        <f t="shared" ca="1" si="24"/>
        <v>Female</v>
      </c>
      <c r="D163">
        <f t="shared" ca="1" si="25"/>
        <v>48</v>
      </c>
      <c r="E163" t="str">
        <f t="shared" ca="1" si="26"/>
        <v>White</v>
      </c>
      <c r="F163" t="str">
        <f t="shared" ca="1" si="27"/>
        <v>PM</v>
      </c>
      <c r="G163" t="str">
        <f t="shared" ca="1" si="28"/>
        <v>Weekday</v>
      </c>
      <c r="H163" t="str">
        <f t="shared" ca="1" si="29"/>
        <v>Patient</v>
      </c>
      <c r="I163" t="str">
        <f t="shared" ca="1" si="30"/>
        <v>Neurology</v>
      </c>
      <c r="J163">
        <f t="shared" ca="1" si="31"/>
        <v>6</v>
      </c>
      <c r="K163">
        <f t="shared" ca="1" si="32"/>
        <v>71</v>
      </c>
    </row>
    <row r="164" spans="1:11" x14ac:dyDescent="0.3">
      <c r="A164" s="1">
        <f t="shared" ca="1" si="22"/>
        <v>44986</v>
      </c>
      <c r="B164" t="str">
        <f t="shared" si="23"/>
        <v>V0163</v>
      </c>
      <c r="C164" t="str">
        <f t="shared" ca="1" si="24"/>
        <v>Male</v>
      </c>
      <c r="D164">
        <f t="shared" ca="1" si="25"/>
        <v>72</v>
      </c>
      <c r="E164" t="str">
        <f t="shared" ca="1" si="26"/>
        <v>Native American</v>
      </c>
      <c r="F164" t="str">
        <f t="shared" ca="1" si="27"/>
        <v>AM</v>
      </c>
      <c r="G164" t="str">
        <f t="shared" ca="1" si="28"/>
        <v>Weekday</v>
      </c>
      <c r="H164" t="str">
        <f t="shared" ca="1" si="29"/>
        <v>Patient</v>
      </c>
      <c r="I164" t="str">
        <f t="shared" ca="1" si="30"/>
        <v>Neurology</v>
      </c>
      <c r="J164">
        <f t="shared" ca="1" si="31"/>
        <v>5</v>
      </c>
      <c r="K164">
        <f t="shared" ca="1" si="32"/>
        <v>82</v>
      </c>
    </row>
    <row r="165" spans="1:11" x14ac:dyDescent="0.3">
      <c r="A165" s="1">
        <f t="shared" ca="1" si="22"/>
        <v>45241</v>
      </c>
      <c r="B165" t="str">
        <f t="shared" si="23"/>
        <v>V0164</v>
      </c>
      <c r="C165" t="str">
        <f t="shared" ca="1" si="24"/>
        <v>Female</v>
      </c>
      <c r="D165">
        <f t="shared" ca="1" si="25"/>
        <v>33</v>
      </c>
      <c r="E165" t="str">
        <f t="shared" ca="1" si="26"/>
        <v>Native American</v>
      </c>
      <c r="F165" t="str">
        <f t="shared" ca="1" si="27"/>
        <v>PM</v>
      </c>
      <c r="G165" t="str">
        <f t="shared" ca="1" si="28"/>
        <v>Weekend</v>
      </c>
      <c r="H165" t="str">
        <f t="shared" ca="1" si="29"/>
        <v>Non-Patient</v>
      </c>
      <c r="I165" t="str">
        <f t="shared" ca="1" si="30"/>
        <v>Neurology</v>
      </c>
      <c r="J165">
        <f t="shared" ca="1" si="31"/>
        <v>6</v>
      </c>
      <c r="K165">
        <f t="shared" ca="1" si="32"/>
        <v>49</v>
      </c>
    </row>
    <row r="166" spans="1:11" x14ac:dyDescent="0.3">
      <c r="A166" s="1">
        <f t="shared" ca="1" si="22"/>
        <v>45125</v>
      </c>
      <c r="B166" t="str">
        <f t="shared" si="23"/>
        <v>V0165</v>
      </c>
      <c r="C166" t="str">
        <f t="shared" ca="1" si="24"/>
        <v>Female</v>
      </c>
      <c r="D166">
        <f t="shared" ca="1" si="25"/>
        <v>72</v>
      </c>
      <c r="E166" t="str">
        <f t="shared" ca="1" si="26"/>
        <v>African American</v>
      </c>
      <c r="F166" t="str">
        <f t="shared" ca="1" si="27"/>
        <v>PM</v>
      </c>
      <c r="G166" t="str">
        <f t="shared" ca="1" si="28"/>
        <v>Weekday</v>
      </c>
      <c r="H166" t="str">
        <f t="shared" ca="1" si="29"/>
        <v>Non-Patient</v>
      </c>
      <c r="I166" t="str">
        <f t="shared" ca="1" si="30"/>
        <v>Cardiology</v>
      </c>
      <c r="J166">
        <f t="shared" ca="1" si="31"/>
        <v>1</v>
      </c>
      <c r="K166">
        <f t="shared" ca="1" si="32"/>
        <v>54</v>
      </c>
    </row>
    <row r="167" spans="1:11" x14ac:dyDescent="0.3">
      <c r="A167" s="1">
        <f t="shared" ca="1" si="22"/>
        <v>45188</v>
      </c>
      <c r="B167" t="str">
        <f t="shared" si="23"/>
        <v>V0166</v>
      </c>
      <c r="C167" t="str">
        <f t="shared" ca="1" si="24"/>
        <v>Female</v>
      </c>
      <c r="D167">
        <f t="shared" ca="1" si="25"/>
        <v>84</v>
      </c>
      <c r="E167" t="str">
        <f t="shared" ca="1" si="26"/>
        <v>Pacific Islander</v>
      </c>
      <c r="F167" t="str">
        <f t="shared" ca="1" si="27"/>
        <v>AM</v>
      </c>
      <c r="G167" t="str">
        <f t="shared" ca="1" si="28"/>
        <v>Weekday</v>
      </c>
      <c r="H167" t="str">
        <f t="shared" ca="1" si="29"/>
        <v>Patient</v>
      </c>
      <c r="I167" t="str">
        <f t="shared" ca="1" si="30"/>
        <v>General Practice</v>
      </c>
      <c r="J167">
        <f t="shared" ca="1" si="31"/>
        <v>5</v>
      </c>
      <c r="K167">
        <f t="shared" ca="1" si="32"/>
        <v>43</v>
      </c>
    </row>
    <row r="168" spans="1:11" x14ac:dyDescent="0.3">
      <c r="A168" s="1">
        <f t="shared" ca="1" si="22"/>
        <v>45290</v>
      </c>
      <c r="B168" t="str">
        <f t="shared" si="23"/>
        <v>V0167</v>
      </c>
      <c r="C168" t="str">
        <f t="shared" ca="1" si="24"/>
        <v>Female</v>
      </c>
      <c r="D168">
        <f t="shared" ca="1" si="25"/>
        <v>70</v>
      </c>
      <c r="E168" t="str">
        <f t="shared" ca="1" si="26"/>
        <v>African American</v>
      </c>
      <c r="F168" t="str">
        <f t="shared" ca="1" si="27"/>
        <v>AM</v>
      </c>
      <c r="G168" t="str">
        <f t="shared" ca="1" si="28"/>
        <v>Weekend</v>
      </c>
      <c r="H168" t="str">
        <f t="shared" ca="1" si="29"/>
        <v>Non-Patient</v>
      </c>
      <c r="I168" t="str">
        <f t="shared" ca="1" si="30"/>
        <v>General Practice</v>
      </c>
      <c r="J168">
        <f t="shared" ca="1" si="31"/>
        <v>2</v>
      </c>
      <c r="K168">
        <f t="shared" ca="1" si="32"/>
        <v>49</v>
      </c>
    </row>
    <row r="169" spans="1:11" x14ac:dyDescent="0.3">
      <c r="A169" s="1">
        <f t="shared" ca="1" si="22"/>
        <v>45255</v>
      </c>
      <c r="B169" t="str">
        <f t="shared" si="23"/>
        <v>V0168</v>
      </c>
      <c r="C169" t="str">
        <f t="shared" ca="1" si="24"/>
        <v>Female</v>
      </c>
      <c r="D169">
        <f t="shared" ca="1" si="25"/>
        <v>56</v>
      </c>
      <c r="E169" t="str">
        <f t="shared" ca="1" si="26"/>
        <v>White</v>
      </c>
      <c r="F169" t="str">
        <f t="shared" ca="1" si="27"/>
        <v>AM</v>
      </c>
      <c r="G169" t="str">
        <f t="shared" ca="1" si="28"/>
        <v>Weekend</v>
      </c>
      <c r="H169" t="str">
        <f t="shared" ca="1" si="29"/>
        <v>Non-Patient</v>
      </c>
      <c r="I169" t="str">
        <f t="shared" ca="1" si="30"/>
        <v>Neurology</v>
      </c>
      <c r="J169">
        <f t="shared" ca="1" si="31"/>
        <v>10</v>
      </c>
      <c r="K169">
        <f t="shared" ca="1" si="32"/>
        <v>76</v>
      </c>
    </row>
    <row r="170" spans="1:11" x14ac:dyDescent="0.3">
      <c r="A170" s="1">
        <f t="shared" ca="1" si="22"/>
        <v>45161</v>
      </c>
      <c r="B170" t="str">
        <f t="shared" si="23"/>
        <v>V0169</v>
      </c>
      <c r="C170" t="str">
        <f t="shared" ca="1" si="24"/>
        <v>Male</v>
      </c>
      <c r="D170">
        <f t="shared" ca="1" si="25"/>
        <v>43</v>
      </c>
      <c r="E170" t="str">
        <f t="shared" ca="1" si="26"/>
        <v>Pacific Islander</v>
      </c>
      <c r="F170" t="str">
        <f t="shared" ca="1" si="27"/>
        <v>AM</v>
      </c>
      <c r="G170" t="str">
        <f t="shared" ca="1" si="28"/>
        <v>Weekday</v>
      </c>
      <c r="H170" t="str">
        <f t="shared" ca="1" si="29"/>
        <v>Non-Patient</v>
      </c>
      <c r="I170" t="str">
        <f t="shared" ca="1" si="30"/>
        <v>Neurology</v>
      </c>
      <c r="J170">
        <f t="shared" ca="1" si="31"/>
        <v>2</v>
      </c>
      <c r="K170">
        <f t="shared" ca="1" si="32"/>
        <v>64</v>
      </c>
    </row>
    <row r="171" spans="1:11" x14ac:dyDescent="0.3">
      <c r="A171" s="1">
        <f t="shared" ca="1" si="22"/>
        <v>45127</v>
      </c>
      <c r="B171" t="str">
        <f t="shared" si="23"/>
        <v>V0170</v>
      </c>
      <c r="C171" t="str">
        <f t="shared" ca="1" si="24"/>
        <v>Male</v>
      </c>
      <c r="D171">
        <f t="shared" ca="1" si="25"/>
        <v>33</v>
      </c>
      <c r="E171" t="str">
        <f t="shared" ca="1" si="26"/>
        <v>Asian</v>
      </c>
      <c r="F171" t="str">
        <f t="shared" ca="1" si="27"/>
        <v>AM</v>
      </c>
      <c r="G171" t="str">
        <f t="shared" ca="1" si="28"/>
        <v>Weekday</v>
      </c>
      <c r="H171" t="str">
        <f t="shared" ca="1" si="29"/>
        <v>Non-Patient</v>
      </c>
      <c r="I171" t="str">
        <f t="shared" ca="1" si="30"/>
        <v>Orthopedics</v>
      </c>
      <c r="J171">
        <f t="shared" ca="1" si="31"/>
        <v>2</v>
      </c>
      <c r="K171">
        <f t="shared" ca="1" si="32"/>
        <v>83</v>
      </c>
    </row>
    <row r="172" spans="1:11" x14ac:dyDescent="0.3">
      <c r="A172" s="1">
        <f t="shared" ca="1" si="22"/>
        <v>45140</v>
      </c>
      <c r="B172" t="str">
        <f t="shared" si="23"/>
        <v>V0171</v>
      </c>
      <c r="C172" t="str">
        <f t="shared" ca="1" si="24"/>
        <v>Female</v>
      </c>
      <c r="D172">
        <f t="shared" ca="1" si="25"/>
        <v>28</v>
      </c>
      <c r="E172" t="str">
        <f t="shared" ca="1" si="26"/>
        <v>Pacific Islander</v>
      </c>
      <c r="F172" t="str">
        <f t="shared" ca="1" si="27"/>
        <v>AM</v>
      </c>
      <c r="G172" t="str">
        <f t="shared" ca="1" si="28"/>
        <v>Weekday</v>
      </c>
      <c r="H172" t="str">
        <f t="shared" ca="1" si="29"/>
        <v>Patient</v>
      </c>
      <c r="I172" t="str">
        <f t="shared" ca="1" si="30"/>
        <v>Neurology</v>
      </c>
      <c r="J172">
        <f t="shared" ca="1" si="31"/>
        <v>9</v>
      </c>
      <c r="K172">
        <f t="shared" ca="1" si="32"/>
        <v>88</v>
      </c>
    </row>
    <row r="173" spans="1:11" x14ac:dyDescent="0.3">
      <c r="A173" s="1">
        <f t="shared" ca="1" si="22"/>
        <v>45107</v>
      </c>
      <c r="B173" t="str">
        <f t="shared" si="23"/>
        <v>V0172</v>
      </c>
      <c r="C173" t="str">
        <f t="shared" ca="1" si="24"/>
        <v>Female</v>
      </c>
      <c r="D173">
        <f t="shared" ca="1" si="25"/>
        <v>83</v>
      </c>
      <c r="E173" t="str">
        <f t="shared" ca="1" si="26"/>
        <v>Asian</v>
      </c>
      <c r="F173" t="str">
        <f t="shared" ca="1" si="27"/>
        <v>PM</v>
      </c>
      <c r="G173" t="str">
        <f t="shared" ca="1" si="28"/>
        <v>Weekday</v>
      </c>
      <c r="H173" t="str">
        <f t="shared" ca="1" si="29"/>
        <v>Patient</v>
      </c>
      <c r="I173" t="str">
        <f t="shared" ca="1" si="30"/>
        <v>Orthopedics</v>
      </c>
      <c r="J173">
        <f t="shared" ca="1" si="31"/>
        <v>1</v>
      </c>
      <c r="K173">
        <f t="shared" ca="1" si="32"/>
        <v>24</v>
      </c>
    </row>
    <row r="174" spans="1:11" x14ac:dyDescent="0.3">
      <c r="A174" s="1">
        <f t="shared" ca="1" si="22"/>
        <v>44986</v>
      </c>
      <c r="B174" t="str">
        <f t="shared" si="23"/>
        <v>V0173</v>
      </c>
      <c r="C174" t="str">
        <f t="shared" ca="1" si="24"/>
        <v>Male</v>
      </c>
      <c r="D174">
        <f t="shared" ca="1" si="25"/>
        <v>43</v>
      </c>
      <c r="E174" t="str">
        <f t="shared" ca="1" si="26"/>
        <v>White</v>
      </c>
      <c r="F174" t="str">
        <f t="shared" ca="1" si="27"/>
        <v>PM</v>
      </c>
      <c r="G174" t="str">
        <f t="shared" ca="1" si="28"/>
        <v>Weekday</v>
      </c>
      <c r="H174" t="str">
        <f t="shared" ca="1" si="29"/>
        <v>Patient</v>
      </c>
      <c r="I174" t="str">
        <f t="shared" ca="1" si="30"/>
        <v>Neurology</v>
      </c>
      <c r="J174">
        <f t="shared" ca="1" si="31"/>
        <v>2</v>
      </c>
      <c r="K174">
        <f t="shared" ca="1" si="32"/>
        <v>70</v>
      </c>
    </row>
    <row r="175" spans="1:11" x14ac:dyDescent="0.3">
      <c r="A175" s="1">
        <f t="shared" ca="1" si="22"/>
        <v>45111</v>
      </c>
      <c r="B175" t="str">
        <f t="shared" si="23"/>
        <v>V0174</v>
      </c>
      <c r="C175" t="str">
        <f t="shared" ca="1" si="24"/>
        <v>Female</v>
      </c>
      <c r="D175">
        <f t="shared" ca="1" si="25"/>
        <v>23</v>
      </c>
      <c r="E175" t="str">
        <f t="shared" ca="1" si="26"/>
        <v>Asian</v>
      </c>
      <c r="F175" t="str">
        <f t="shared" ca="1" si="27"/>
        <v>PM</v>
      </c>
      <c r="G175" t="str">
        <f t="shared" ca="1" si="28"/>
        <v>Weekday</v>
      </c>
      <c r="H175" t="str">
        <f t="shared" ca="1" si="29"/>
        <v>Patient</v>
      </c>
      <c r="I175" t="str">
        <f t="shared" ca="1" si="30"/>
        <v>Neurology</v>
      </c>
      <c r="J175">
        <f t="shared" ca="1" si="31"/>
        <v>2</v>
      </c>
      <c r="K175">
        <f t="shared" ca="1" si="32"/>
        <v>19</v>
      </c>
    </row>
    <row r="176" spans="1:11" x14ac:dyDescent="0.3">
      <c r="A176" s="1">
        <f t="shared" ca="1" si="22"/>
        <v>45154</v>
      </c>
      <c r="B176" t="str">
        <f t="shared" si="23"/>
        <v>V0175</v>
      </c>
      <c r="C176" t="str">
        <f t="shared" ca="1" si="24"/>
        <v>Male</v>
      </c>
      <c r="D176">
        <f t="shared" ca="1" si="25"/>
        <v>3</v>
      </c>
      <c r="E176" t="str">
        <f t="shared" ca="1" si="26"/>
        <v>Pacific Islander</v>
      </c>
      <c r="F176" t="str">
        <f t="shared" ca="1" si="27"/>
        <v>AM</v>
      </c>
      <c r="G176" t="str">
        <f t="shared" ca="1" si="28"/>
        <v>Weekday</v>
      </c>
      <c r="H176" t="str">
        <f t="shared" ca="1" si="29"/>
        <v>Non-Patient</v>
      </c>
      <c r="I176" t="str">
        <f t="shared" ca="1" si="30"/>
        <v>Physiotherapy</v>
      </c>
      <c r="J176">
        <f t="shared" ca="1" si="31"/>
        <v>6</v>
      </c>
      <c r="K176">
        <f t="shared" ca="1" si="32"/>
        <v>73</v>
      </c>
    </row>
    <row r="177" spans="1:11" x14ac:dyDescent="0.3">
      <c r="A177" s="1">
        <f t="shared" ca="1" si="22"/>
        <v>44994</v>
      </c>
      <c r="B177" t="str">
        <f t="shared" si="23"/>
        <v>V0176</v>
      </c>
      <c r="C177" t="str">
        <f t="shared" ca="1" si="24"/>
        <v>Female</v>
      </c>
      <c r="D177">
        <f t="shared" ca="1" si="25"/>
        <v>29</v>
      </c>
      <c r="E177" t="str">
        <f t="shared" ca="1" si="26"/>
        <v>Asian</v>
      </c>
      <c r="F177" t="str">
        <f t="shared" ca="1" si="27"/>
        <v>AM</v>
      </c>
      <c r="G177" t="str">
        <f t="shared" ca="1" si="28"/>
        <v>Weekday</v>
      </c>
      <c r="H177" t="str">
        <f t="shared" ca="1" si="29"/>
        <v>Non-Patient</v>
      </c>
      <c r="I177" t="str">
        <f t="shared" ca="1" si="30"/>
        <v>General Practice</v>
      </c>
      <c r="J177">
        <f t="shared" ca="1" si="31"/>
        <v>2</v>
      </c>
      <c r="K177">
        <f t="shared" ca="1" si="32"/>
        <v>72</v>
      </c>
    </row>
    <row r="178" spans="1:11" x14ac:dyDescent="0.3">
      <c r="A178" s="1">
        <f t="shared" ca="1" si="22"/>
        <v>45068</v>
      </c>
      <c r="B178" t="str">
        <f t="shared" si="23"/>
        <v>V0177</v>
      </c>
      <c r="C178" t="str">
        <f t="shared" ca="1" si="24"/>
        <v>Male</v>
      </c>
      <c r="D178">
        <f t="shared" ca="1" si="25"/>
        <v>71</v>
      </c>
      <c r="E178" t="str">
        <f t="shared" ca="1" si="26"/>
        <v>Pacific Islander</v>
      </c>
      <c r="F178" t="str">
        <f t="shared" ca="1" si="27"/>
        <v>PM</v>
      </c>
      <c r="G178" t="str">
        <f t="shared" ca="1" si="28"/>
        <v>Weekday</v>
      </c>
      <c r="H178" t="str">
        <f t="shared" ca="1" si="29"/>
        <v>Non-Patient</v>
      </c>
      <c r="I178" t="str">
        <f t="shared" ca="1" si="30"/>
        <v>Orthopedics</v>
      </c>
      <c r="J178">
        <f t="shared" ca="1" si="31"/>
        <v>4</v>
      </c>
      <c r="K178">
        <f t="shared" ca="1" si="32"/>
        <v>74</v>
      </c>
    </row>
    <row r="179" spans="1:11" x14ac:dyDescent="0.3">
      <c r="A179" s="1">
        <f t="shared" ca="1" si="22"/>
        <v>45048</v>
      </c>
      <c r="B179" t="str">
        <f t="shared" si="23"/>
        <v>V0178</v>
      </c>
      <c r="C179" t="str">
        <f t="shared" ca="1" si="24"/>
        <v>Female</v>
      </c>
      <c r="D179">
        <f t="shared" ca="1" si="25"/>
        <v>18</v>
      </c>
      <c r="E179" t="str">
        <f t="shared" ca="1" si="26"/>
        <v>African American</v>
      </c>
      <c r="F179" t="str">
        <f t="shared" ca="1" si="27"/>
        <v>AM</v>
      </c>
      <c r="G179" t="str">
        <f t="shared" ca="1" si="28"/>
        <v>Weekday</v>
      </c>
      <c r="H179" t="str">
        <f t="shared" ca="1" si="29"/>
        <v>Patient</v>
      </c>
      <c r="I179" t="str">
        <f t="shared" ca="1" si="30"/>
        <v>Physiotherapy</v>
      </c>
      <c r="J179">
        <f t="shared" ca="1" si="31"/>
        <v>9</v>
      </c>
      <c r="K179">
        <f t="shared" ca="1" si="32"/>
        <v>29</v>
      </c>
    </row>
    <row r="180" spans="1:11" x14ac:dyDescent="0.3">
      <c r="A180" s="1">
        <f t="shared" ca="1" si="22"/>
        <v>45213</v>
      </c>
      <c r="B180" t="str">
        <f t="shared" si="23"/>
        <v>V0179</v>
      </c>
      <c r="C180" t="str">
        <f t="shared" ca="1" si="24"/>
        <v>Male</v>
      </c>
      <c r="D180">
        <f t="shared" ca="1" si="25"/>
        <v>59</v>
      </c>
      <c r="E180" t="str">
        <f t="shared" ca="1" si="26"/>
        <v>Native American</v>
      </c>
      <c r="F180" t="str">
        <f t="shared" ca="1" si="27"/>
        <v>AM</v>
      </c>
      <c r="G180" t="str">
        <f t="shared" ca="1" si="28"/>
        <v>Weekend</v>
      </c>
      <c r="H180" t="str">
        <f t="shared" ca="1" si="29"/>
        <v>Non-Patient</v>
      </c>
      <c r="I180" t="str">
        <f t="shared" ca="1" si="30"/>
        <v>General Practice</v>
      </c>
      <c r="J180">
        <f t="shared" ca="1" si="31"/>
        <v>9</v>
      </c>
      <c r="K180">
        <f t="shared" ca="1" si="32"/>
        <v>44</v>
      </c>
    </row>
    <row r="181" spans="1:11" x14ac:dyDescent="0.3">
      <c r="A181" s="1">
        <f t="shared" ca="1" si="22"/>
        <v>45279</v>
      </c>
      <c r="B181" t="str">
        <f t="shared" si="23"/>
        <v>V0180</v>
      </c>
      <c r="C181" t="str">
        <f t="shared" ca="1" si="24"/>
        <v>Female</v>
      </c>
      <c r="D181">
        <f t="shared" ca="1" si="25"/>
        <v>10</v>
      </c>
      <c r="E181" t="str">
        <f t="shared" ca="1" si="26"/>
        <v>White</v>
      </c>
      <c r="F181" t="str">
        <f t="shared" ca="1" si="27"/>
        <v>PM</v>
      </c>
      <c r="G181" t="str">
        <f t="shared" ca="1" si="28"/>
        <v>Weekday</v>
      </c>
      <c r="H181" t="str">
        <f t="shared" ca="1" si="29"/>
        <v>Non-Patient</v>
      </c>
      <c r="I181" t="str">
        <f t="shared" ca="1" si="30"/>
        <v>Orthopedics</v>
      </c>
      <c r="J181">
        <f t="shared" ca="1" si="31"/>
        <v>2</v>
      </c>
      <c r="K181">
        <f t="shared" ca="1" si="32"/>
        <v>55</v>
      </c>
    </row>
    <row r="182" spans="1:11" x14ac:dyDescent="0.3">
      <c r="A182" s="1">
        <f t="shared" ca="1" si="22"/>
        <v>45028</v>
      </c>
      <c r="B182" t="str">
        <f t="shared" si="23"/>
        <v>V0181</v>
      </c>
      <c r="C182" t="str">
        <f t="shared" ca="1" si="24"/>
        <v>Male</v>
      </c>
      <c r="D182">
        <f t="shared" ca="1" si="25"/>
        <v>51</v>
      </c>
      <c r="E182" t="str">
        <f t="shared" ca="1" si="26"/>
        <v>African American</v>
      </c>
      <c r="F182" t="str">
        <f t="shared" ca="1" si="27"/>
        <v>AM</v>
      </c>
      <c r="G182" t="str">
        <f t="shared" ca="1" si="28"/>
        <v>Weekday</v>
      </c>
      <c r="H182" t="str">
        <f t="shared" ca="1" si="29"/>
        <v>Non-Patient</v>
      </c>
      <c r="I182" t="str">
        <f t="shared" ca="1" si="30"/>
        <v>Orthopedics</v>
      </c>
      <c r="J182">
        <f t="shared" ca="1" si="31"/>
        <v>3</v>
      </c>
      <c r="K182">
        <f t="shared" ca="1" si="32"/>
        <v>84</v>
      </c>
    </row>
    <row r="183" spans="1:11" x14ac:dyDescent="0.3">
      <c r="A183" s="1">
        <f t="shared" ca="1" si="22"/>
        <v>45278</v>
      </c>
      <c r="B183" t="str">
        <f t="shared" si="23"/>
        <v>V0182</v>
      </c>
      <c r="C183" t="str">
        <f t="shared" ca="1" si="24"/>
        <v>Female</v>
      </c>
      <c r="D183">
        <f t="shared" ca="1" si="25"/>
        <v>10</v>
      </c>
      <c r="E183" t="str">
        <f t="shared" ca="1" si="26"/>
        <v>Asian</v>
      </c>
      <c r="F183" t="str">
        <f t="shared" ca="1" si="27"/>
        <v>PM</v>
      </c>
      <c r="G183" t="str">
        <f t="shared" ca="1" si="28"/>
        <v>Weekday</v>
      </c>
      <c r="H183" t="str">
        <f t="shared" ca="1" si="29"/>
        <v>Non-Patient</v>
      </c>
      <c r="I183" t="str">
        <f t="shared" ca="1" si="30"/>
        <v>Orthopedics</v>
      </c>
      <c r="J183">
        <f t="shared" ca="1" si="31"/>
        <v>5</v>
      </c>
      <c r="K183">
        <f t="shared" ca="1" si="32"/>
        <v>81</v>
      </c>
    </row>
    <row r="184" spans="1:11" x14ac:dyDescent="0.3">
      <c r="A184" s="1">
        <f t="shared" ca="1" si="22"/>
        <v>45202</v>
      </c>
      <c r="B184" t="str">
        <f t="shared" si="23"/>
        <v>V0183</v>
      </c>
      <c r="C184" t="str">
        <f t="shared" ca="1" si="24"/>
        <v>Male</v>
      </c>
      <c r="D184">
        <f t="shared" ca="1" si="25"/>
        <v>55</v>
      </c>
      <c r="E184" t="str">
        <f t="shared" ca="1" si="26"/>
        <v>African American</v>
      </c>
      <c r="F184" t="str">
        <f t="shared" ca="1" si="27"/>
        <v>PM</v>
      </c>
      <c r="G184" t="str">
        <f t="shared" ca="1" si="28"/>
        <v>Weekday</v>
      </c>
      <c r="H184" t="str">
        <f t="shared" ca="1" si="29"/>
        <v>Patient</v>
      </c>
      <c r="I184" t="str">
        <f t="shared" ca="1" si="30"/>
        <v>Physiotherapy</v>
      </c>
      <c r="J184">
        <f t="shared" ca="1" si="31"/>
        <v>8</v>
      </c>
      <c r="K184">
        <f t="shared" ca="1" si="32"/>
        <v>72</v>
      </c>
    </row>
    <row r="185" spans="1:11" x14ac:dyDescent="0.3">
      <c r="A185" s="1">
        <f t="shared" ca="1" si="22"/>
        <v>45016</v>
      </c>
      <c r="B185" t="str">
        <f t="shared" si="23"/>
        <v>V0184</v>
      </c>
      <c r="C185" t="str">
        <f t="shared" ca="1" si="24"/>
        <v>Female</v>
      </c>
      <c r="D185">
        <f t="shared" ca="1" si="25"/>
        <v>53</v>
      </c>
      <c r="E185" t="str">
        <f t="shared" ca="1" si="26"/>
        <v>Native American</v>
      </c>
      <c r="F185" t="str">
        <f t="shared" ca="1" si="27"/>
        <v>AM</v>
      </c>
      <c r="G185" t="str">
        <f t="shared" ca="1" si="28"/>
        <v>Weekday</v>
      </c>
      <c r="H185" t="str">
        <f t="shared" ca="1" si="29"/>
        <v>Non-Patient</v>
      </c>
      <c r="I185" t="str">
        <f t="shared" ca="1" si="30"/>
        <v>Cardiology</v>
      </c>
      <c r="J185">
        <f t="shared" ca="1" si="31"/>
        <v>3</v>
      </c>
      <c r="K185">
        <f t="shared" ca="1" si="32"/>
        <v>65</v>
      </c>
    </row>
    <row r="186" spans="1:11" x14ac:dyDescent="0.3">
      <c r="A186" s="1">
        <f t="shared" ca="1" si="22"/>
        <v>45158</v>
      </c>
      <c r="B186" t="str">
        <f t="shared" si="23"/>
        <v>V0185</v>
      </c>
      <c r="C186" t="str">
        <f t="shared" ca="1" si="24"/>
        <v>Female</v>
      </c>
      <c r="D186">
        <f t="shared" ca="1" si="25"/>
        <v>23</v>
      </c>
      <c r="E186" t="str">
        <f t="shared" ca="1" si="26"/>
        <v>White</v>
      </c>
      <c r="F186" t="str">
        <f t="shared" ca="1" si="27"/>
        <v>AM</v>
      </c>
      <c r="G186" t="str">
        <f t="shared" ca="1" si="28"/>
        <v>Weekend</v>
      </c>
      <c r="H186" t="str">
        <f t="shared" ca="1" si="29"/>
        <v>Patient</v>
      </c>
      <c r="I186" t="str">
        <f t="shared" ca="1" si="30"/>
        <v>Physiotherapy</v>
      </c>
      <c r="J186">
        <f t="shared" ca="1" si="31"/>
        <v>10</v>
      </c>
      <c r="K186">
        <f t="shared" ca="1" si="32"/>
        <v>17</v>
      </c>
    </row>
    <row r="187" spans="1:11" x14ac:dyDescent="0.3">
      <c r="A187" s="1">
        <f t="shared" ca="1" si="22"/>
        <v>45148</v>
      </c>
      <c r="B187" t="str">
        <f t="shared" si="23"/>
        <v>V0186</v>
      </c>
      <c r="C187" t="str">
        <f t="shared" ca="1" si="24"/>
        <v>Female</v>
      </c>
      <c r="D187">
        <f t="shared" ca="1" si="25"/>
        <v>1</v>
      </c>
      <c r="E187" t="str">
        <f t="shared" ca="1" si="26"/>
        <v>White</v>
      </c>
      <c r="F187" t="str">
        <f t="shared" ca="1" si="27"/>
        <v>PM</v>
      </c>
      <c r="G187" t="str">
        <f t="shared" ca="1" si="28"/>
        <v>Weekday</v>
      </c>
      <c r="H187" t="str">
        <f t="shared" ca="1" si="29"/>
        <v>Patient</v>
      </c>
      <c r="I187" t="str">
        <f t="shared" ca="1" si="30"/>
        <v>Physiotherapy</v>
      </c>
      <c r="J187">
        <f t="shared" ca="1" si="31"/>
        <v>8</v>
      </c>
      <c r="K187">
        <f t="shared" ca="1" si="32"/>
        <v>69</v>
      </c>
    </row>
    <row r="188" spans="1:11" x14ac:dyDescent="0.3">
      <c r="A188" s="1">
        <f t="shared" ca="1" si="22"/>
        <v>45073</v>
      </c>
      <c r="B188" t="str">
        <f t="shared" si="23"/>
        <v>V0187</v>
      </c>
      <c r="C188" t="str">
        <f t="shared" ca="1" si="24"/>
        <v>Female</v>
      </c>
      <c r="D188">
        <f t="shared" ca="1" si="25"/>
        <v>24</v>
      </c>
      <c r="E188" t="str">
        <f t="shared" ca="1" si="26"/>
        <v>White</v>
      </c>
      <c r="F188" t="str">
        <f t="shared" ca="1" si="27"/>
        <v>AM</v>
      </c>
      <c r="G188" t="str">
        <f t="shared" ca="1" si="28"/>
        <v>Weekend</v>
      </c>
      <c r="H188" t="str">
        <f t="shared" ca="1" si="29"/>
        <v>Non-Patient</v>
      </c>
      <c r="I188" t="str">
        <f t="shared" ca="1" si="30"/>
        <v>Physiotherapy</v>
      </c>
      <c r="J188">
        <f t="shared" ca="1" si="31"/>
        <v>6</v>
      </c>
      <c r="K188">
        <f t="shared" ca="1" si="32"/>
        <v>55</v>
      </c>
    </row>
    <row r="189" spans="1:11" x14ac:dyDescent="0.3">
      <c r="A189" s="1">
        <f t="shared" ca="1" si="22"/>
        <v>44971</v>
      </c>
      <c r="B189" t="str">
        <f t="shared" si="23"/>
        <v>V0188</v>
      </c>
      <c r="C189" t="str">
        <f t="shared" ca="1" si="24"/>
        <v>Female</v>
      </c>
      <c r="D189">
        <f t="shared" ca="1" si="25"/>
        <v>13</v>
      </c>
      <c r="E189" t="str">
        <f t="shared" ca="1" si="26"/>
        <v>Native American</v>
      </c>
      <c r="F189" t="str">
        <f t="shared" ca="1" si="27"/>
        <v>PM</v>
      </c>
      <c r="G189" t="str">
        <f t="shared" ca="1" si="28"/>
        <v>Weekday</v>
      </c>
      <c r="H189" t="str">
        <f t="shared" ca="1" si="29"/>
        <v>Patient</v>
      </c>
      <c r="I189" t="str">
        <f t="shared" ca="1" si="30"/>
        <v>Physiotherapy</v>
      </c>
      <c r="J189">
        <f t="shared" ca="1" si="31"/>
        <v>4</v>
      </c>
      <c r="K189">
        <f t="shared" ca="1" si="32"/>
        <v>63</v>
      </c>
    </row>
    <row r="190" spans="1:11" x14ac:dyDescent="0.3">
      <c r="A190" s="1">
        <f t="shared" ca="1" si="22"/>
        <v>45279</v>
      </c>
      <c r="B190" t="str">
        <f t="shared" si="23"/>
        <v>V0189</v>
      </c>
      <c r="C190" t="str">
        <f t="shared" ca="1" si="24"/>
        <v>Male</v>
      </c>
      <c r="D190">
        <f t="shared" ca="1" si="25"/>
        <v>40</v>
      </c>
      <c r="E190" t="str">
        <f t="shared" ca="1" si="26"/>
        <v>African American</v>
      </c>
      <c r="F190" t="str">
        <f t="shared" ca="1" si="27"/>
        <v>PM</v>
      </c>
      <c r="G190" t="str">
        <f t="shared" ca="1" si="28"/>
        <v>Weekday</v>
      </c>
      <c r="H190" t="str">
        <f t="shared" ca="1" si="29"/>
        <v>Patient</v>
      </c>
      <c r="I190" t="str">
        <f t="shared" ca="1" si="30"/>
        <v>Orthopedics</v>
      </c>
      <c r="J190">
        <f t="shared" ca="1" si="31"/>
        <v>4</v>
      </c>
      <c r="K190">
        <f t="shared" ca="1" si="32"/>
        <v>60</v>
      </c>
    </row>
    <row r="191" spans="1:11" x14ac:dyDescent="0.3">
      <c r="A191" s="1">
        <f t="shared" ca="1" si="22"/>
        <v>45176</v>
      </c>
      <c r="B191" t="str">
        <f t="shared" si="23"/>
        <v>V0190</v>
      </c>
      <c r="C191" t="str">
        <f t="shared" ca="1" si="24"/>
        <v>Male</v>
      </c>
      <c r="D191">
        <f t="shared" ca="1" si="25"/>
        <v>35</v>
      </c>
      <c r="E191" t="str">
        <f t="shared" ca="1" si="26"/>
        <v>White</v>
      </c>
      <c r="F191" t="str">
        <f t="shared" ca="1" si="27"/>
        <v>PM</v>
      </c>
      <c r="G191" t="str">
        <f t="shared" ca="1" si="28"/>
        <v>Weekday</v>
      </c>
      <c r="H191" t="str">
        <f t="shared" ca="1" si="29"/>
        <v>Non-Patient</v>
      </c>
      <c r="I191" t="str">
        <f t="shared" ca="1" si="30"/>
        <v>Orthopedics</v>
      </c>
      <c r="J191">
        <f t="shared" ca="1" si="31"/>
        <v>10</v>
      </c>
      <c r="K191">
        <f t="shared" ca="1" si="32"/>
        <v>58</v>
      </c>
    </row>
    <row r="192" spans="1:11" x14ac:dyDescent="0.3">
      <c r="A192" s="1">
        <f t="shared" ca="1" si="22"/>
        <v>45144</v>
      </c>
      <c r="B192" t="str">
        <f t="shared" si="23"/>
        <v>V0191</v>
      </c>
      <c r="C192" t="str">
        <f t="shared" ca="1" si="24"/>
        <v>Male</v>
      </c>
      <c r="D192">
        <f t="shared" ca="1" si="25"/>
        <v>32</v>
      </c>
      <c r="E192" t="str">
        <f t="shared" ca="1" si="26"/>
        <v>Asian</v>
      </c>
      <c r="F192" t="str">
        <f t="shared" ca="1" si="27"/>
        <v>PM</v>
      </c>
      <c r="G192" t="str">
        <f t="shared" ca="1" si="28"/>
        <v>Weekend</v>
      </c>
      <c r="H192" t="str">
        <f t="shared" ca="1" si="29"/>
        <v>Non-Patient</v>
      </c>
      <c r="I192" t="str">
        <f t="shared" ca="1" si="30"/>
        <v>Physiotherapy</v>
      </c>
      <c r="J192">
        <f t="shared" ca="1" si="31"/>
        <v>6</v>
      </c>
      <c r="K192">
        <f t="shared" ca="1" si="32"/>
        <v>83</v>
      </c>
    </row>
    <row r="193" spans="1:11" x14ac:dyDescent="0.3">
      <c r="A193" s="1">
        <f t="shared" ca="1" si="22"/>
        <v>45174</v>
      </c>
      <c r="B193" t="str">
        <f t="shared" si="23"/>
        <v>V0192</v>
      </c>
      <c r="C193" t="str">
        <f t="shared" ca="1" si="24"/>
        <v>Male</v>
      </c>
      <c r="D193">
        <f t="shared" ca="1" si="25"/>
        <v>2</v>
      </c>
      <c r="E193" t="str">
        <f t="shared" ca="1" si="26"/>
        <v>Native American</v>
      </c>
      <c r="F193" t="str">
        <f t="shared" ca="1" si="27"/>
        <v>PM</v>
      </c>
      <c r="G193" t="str">
        <f t="shared" ca="1" si="28"/>
        <v>Weekday</v>
      </c>
      <c r="H193" t="str">
        <f t="shared" ca="1" si="29"/>
        <v>Non-Patient</v>
      </c>
      <c r="I193" t="str">
        <f t="shared" ca="1" si="30"/>
        <v>Orthopedics</v>
      </c>
      <c r="J193">
        <f t="shared" ca="1" si="31"/>
        <v>10</v>
      </c>
      <c r="K193">
        <f t="shared" ca="1" si="32"/>
        <v>47</v>
      </c>
    </row>
    <row r="194" spans="1:11" x14ac:dyDescent="0.3">
      <c r="A194" s="1">
        <f t="shared" ca="1" si="22"/>
        <v>45214</v>
      </c>
      <c r="B194" t="str">
        <f t="shared" si="23"/>
        <v>V0193</v>
      </c>
      <c r="C194" t="str">
        <f t="shared" ca="1" si="24"/>
        <v>Female</v>
      </c>
      <c r="D194">
        <f t="shared" ca="1" si="25"/>
        <v>54</v>
      </c>
      <c r="E194" t="str">
        <f t="shared" ca="1" si="26"/>
        <v>Asian</v>
      </c>
      <c r="F194" t="str">
        <f t="shared" ca="1" si="27"/>
        <v>PM</v>
      </c>
      <c r="G194" t="str">
        <f t="shared" ca="1" si="28"/>
        <v>Weekend</v>
      </c>
      <c r="H194" t="str">
        <f t="shared" ca="1" si="29"/>
        <v>Non-Patient</v>
      </c>
      <c r="I194" t="str">
        <f t="shared" ca="1" si="30"/>
        <v>Cardiology</v>
      </c>
      <c r="J194">
        <f t="shared" ca="1" si="31"/>
        <v>10</v>
      </c>
      <c r="K194">
        <f t="shared" ca="1" si="32"/>
        <v>25</v>
      </c>
    </row>
    <row r="195" spans="1:11" x14ac:dyDescent="0.3">
      <c r="A195" s="1">
        <f t="shared" ref="A195:A258" ca="1" si="33">DATE(2023,1,1)+RANDBETWEEN(0,365)</f>
        <v>45138</v>
      </c>
      <c r="B195" t="str">
        <f t="shared" ref="B195:B258" si="34">"V"&amp;TEXT(ROW(A195)-1,"0000")</f>
        <v>V0194</v>
      </c>
      <c r="C195" t="str">
        <f t="shared" ref="C195:C258" ca="1" si="35">IF(RAND()&gt;0.5,"Male","Female")</f>
        <v>Female</v>
      </c>
      <c r="D195">
        <f t="shared" ref="D195:D258" ca="1" si="36">RANDBETWEEN(1,85)</f>
        <v>34</v>
      </c>
      <c r="E195" t="str">
        <f t="shared" ref="E195:E258" ca="1" si="37">CHOOSE(RANDBETWEEN(1,5),"White","African American","Asian","Pacific Islander","Native American")</f>
        <v>Asian</v>
      </c>
      <c r="F195" t="str">
        <f t="shared" ref="F195:F258" ca="1" si="38">IF(RAND()&gt;0.5,"AM","PM")</f>
        <v>AM</v>
      </c>
      <c r="G195" t="str">
        <f t="shared" ref="G195:G258" ca="1" si="39">IF(WEEKDAY(A195,2)&lt;=5,"Weekday","Weekend")</f>
        <v>Weekday</v>
      </c>
      <c r="H195" t="str">
        <f t="shared" ref="H195:H258" ca="1" si="40">IF(RAND()&gt;0.5,"Patient","Non-Patient")</f>
        <v>Non-Patient</v>
      </c>
      <c r="I195" t="str">
        <f t="shared" ref="I195:I258" ca="1" si="41">CHOOSE(RANDBETWEEN(1,5),"General Practice","Orthopedics","Cardiology","Physiotherapy","Neurology")</f>
        <v>Physiotherapy</v>
      </c>
      <c r="J195">
        <f t="shared" ref="J195:J258" ca="1" si="42">RANDBETWEEN(1,10)</f>
        <v>1</v>
      </c>
      <c r="K195">
        <f t="shared" ref="K195:K258" ca="1" si="43">RANDBETWEEN(10,90)</f>
        <v>78</v>
      </c>
    </row>
    <row r="196" spans="1:11" x14ac:dyDescent="0.3">
      <c r="A196" s="1">
        <f t="shared" ca="1" si="33"/>
        <v>45209</v>
      </c>
      <c r="B196" t="str">
        <f t="shared" si="34"/>
        <v>V0195</v>
      </c>
      <c r="C196" t="str">
        <f t="shared" ca="1" si="35"/>
        <v>Male</v>
      </c>
      <c r="D196">
        <f t="shared" ca="1" si="36"/>
        <v>48</v>
      </c>
      <c r="E196" t="str">
        <f t="shared" ca="1" si="37"/>
        <v>White</v>
      </c>
      <c r="F196" t="str">
        <f t="shared" ca="1" si="38"/>
        <v>AM</v>
      </c>
      <c r="G196" t="str">
        <f t="shared" ca="1" si="39"/>
        <v>Weekday</v>
      </c>
      <c r="H196" t="str">
        <f t="shared" ca="1" si="40"/>
        <v>Patient</v>
      </c>
      <c r="I196" t="str">
        <f t="shared" ca="1" si="41"/>
        <v>Physiotherapy</v>
      </c>
      <c r="J196">
        <f t="shared" ca="1" si="42"/>
        <v>8</v>
      </c>
      <c r="K196">
        <f t="shared" ca="1" si="43"/>
        <v>34</v>
      </c>
    </row>
    <row r="197" spans="1:11" x14ac:dyDescent="0.3">
      <c r="A197" s="1">
        <f t="shared" ca="1" si="33"/>
        <v>45070</v>
      </c>
      <c r="B197" t="str">
        <f t="shared" si="34"/>
        <v>V0196</v>
      </c>
      <c r="C197" t="str">
        <f t="shared" ca="1" si="35"/>
        <v>Male</v>
      </c>
      <c r="D197">
        <f t="shared" ca="1" si="36"/>
        <v>71</v>
      </c>
      <c r="E197" t="str">
        <f t="shared" ca="1" si="37"/>
        <v>Native American</v>
      </c>
      <c r="F197" t="str">
        <f t="shared" ca="1" si="38"/>
        <v>PM</v>
      </c>
      <c r="G197" t="str">
        <f t="shared" ca="1" si="39"/>
        <v>Weekday</v>
      </c>
      <c r="H197" t="str">
        <f t="shared" ca="1" si="40"/>
        <v>Patient</v>
      </c>
      <c r="I197" t="str">
        <f t="shared" ca="1" si="41"/>
        <v>General Practice</v>
      </c>
      <c r="J197">
        <f t="shared" ca="1" si="42"/>
        <v>6</v>
      </c>
      <c r="K197">
        <f t="shared" ca="1" si="43"/>
        <v>16</v>
      </c>
    </row>
    <row r="198" spans="1:11" x14ac:dyDescent="0.3">
      <c r="A198" s="1">
        <f t="shared" ca="1" si="33"/>
        <v>45020</v>
      </c>
      <c r="B198" t="str">
        <f t="shared" si="34"/>
        <v>V0197</v>
      </c>
      <c r="C198" t="str">
        <f t="shared" ca="1" si="35"/>
        <v>Male</v>
      </c>
      <c r="D198">
        <f t="shared" ca="1" si="36"/>
        <v>25</v>
      </c>
      <c r="E198" t="str">
        <f t="shared" ca="1" si="37"/>
        <v>Asian</v>
      </c>
      <c r="F198" t="str">
        <f t="shared" ca="1" si="38"/>
        <v>PM</v>
      </c>
      <c r="G198" t="str">
        <f t="shared" ca="1" si="39"/>
        <v>Weekday</v>
      </c>
      <c r="H198" t="str">
        <f t="shared" ca="1" si="40"/>
        <v>Patient</v>
      </c>
      <c r="I198" t="str">
        <f t="shared" ca="1" si="41"/>
        <v>Orthopedics</v>
      </c>
      <c r="J198">
        <f t="shared" ca="1" si="42"/>
        <v>8</v>
      </c>
      <c r="K198">
        <f t="shared" ca="1" si="43"/>
        <v>51</v>
      </c>
    </row>
    <row r="199" spans="1:11" x14ac:dyDescent="0.3">
      <c r="A199" s="1">
        <f t="shared" ca="1" si="33"/>
        <v>45259</v>
      </c>
      <c r="B199" t="str">
        <f t="shared" si="34"/>
        <v>V0198</v>
      </c>
      <c r="C199" t="str">
        <f t="shared" ca="1" si="35"/>
        <v>Female</v>
      </c>
      <c r="D199">
        <f t="shared" ca="1" si="36"/>
        <v>27</v>
      </c>
      <c r="E199" t="str">
        <f t="shared" ca="1" si="37"/>
        <v>African American</v>
      </c>
      <c r="F199" t="str">
        <f t="shared" ca="1" si="38"/>
        <v>AM</v>
      </c>
      <c r="G199" t="str">
        <f t="shared" ca="1" si="39"/>
        <v>Weekday</v>
      </c>
      <c r="H199" t="str">
        <f t="shared" ca="1" si="40"/>
        <v>Non-Patient</v>
      </c>
      <c r="I199" t="str">
        <f t="shared" ca="1" si="41"/>
        <v>Orthopedics</v>
      </c>
      <c r="J199">
        <f t="shared" ca="1" si="42"/>
        <v>6</v>
      </c>
      <c r="K199">
        <f t="shared" ca="1" si="43"/>
        <v>29</v>
      </c>
    </row>
    <row r="200" spans="1:11" x14ac:dyDescent="0.3">
      <c r="A200" s="1">
        <f t="shared" ca="1" si="33"/>
        <v>45117</v>
      </c>
      <c r="B200" t="str">
        <f t="shared" si="34"/>
        <v>V0199</v>
      </c>
      <c r="C200" t="str">
        <f t="shared" ca="1" si="35"/>
        <v>Male</v>
      </c>
      <c r="D200">
        <f t="shared" ca="1" si="36"/>
        <v>3</v>
      </c>
      <c r="E200" t="str">
        <f t="shared" ca="1" si="37"/>
        <v>African American</v>
      </c>
      <c r="F200" t="str">
        <f t="shared" ca="1" si="38"/>
        <v>PM</v>
      </c>
      <c r="G200" t="str">
        <f t="shared" ca="1" si="39"/>
        <v>Weekday</v>
      </c>
      <c r="H200" t="str">
        <f t="shared" ca="1" si="40"/>
        <v>Non-Patient</v>
      </c>
      <c r="I200" t="str">
        <f t="shared" ca="1" si="41"/>
        <v>General Practice</v>
      </c>
      <c r="J200">
        <f t="shared" ca="1" si="42"/>
        <v>1</v>
      </c>
      <c r="K200">
        <f t="shared" ca="1" si="43"/>
        <v>37</v>
      </c>
    </row>
    <row r="201" spans="1:11" x14ac:dyDescent="0.3">
      <c r="A201" s="1">
        <f t="shared" ca="1" si="33"/>
        <v>45176</v>
      </c>
      <c r="B201" t="str">
        <f t="shared" si="34"/>
        <v>V0200</v>
      </c>
      <c r="C201" t="str">
        <f t="shared" ca="1" si="35"/>
        <v>Female</v>
      </c>
      <c r="D201">
        <f t="shared" ca="1" si="36"/>
        <v>37</v>
      </c>
      <c r="E201" t="str">
        <f t="shared" ca="1" si="37"/>
        <v>African American</v>
      </c>
      <c r="F201" t="str">
        <f t="shared" ca="1" si="38"/>
        <v>PM</v>
      </c>
      <c r="G201" t="str">
        <f t="shared" ca="1" si="39"/>
        <v>Weekday</v>
      </c>
      <c r="H201" t="str">
        <f t="shared" ca="1" si="40"/>
        <v>Non-Patient</v>
      </c>
      <c r="I201" t="str">
        <f t="shared" ca="1" si="41"/>
        <v>General Practice</v>
      </c>
      <c r="J201">
        <f t="shared" ca="1" si="42"/>
        <v>4</v>
      </c>
      <c r="K201">
        <f t="shared" ca="1" si="43"/>
        <v>76</v>
      </c>
    </row>
    <row r="202" spans="1:11" x14ac:dyDescent="0.3">
      <c r="A202" s="1">
        <f t="shared" ca="1" si="33"/>
        <v>45236</v>
      </c>
      <c r="B202" t="str">
        <f t="shared" si="34"/>
        <v>V0201</v>
      </c>
      <c r="C202" t="str">
        <f t="shared" ca="1" si="35"/>
        <v>Female</v>
      </c>
      <c r="D202">
        <f t="shared" ca="1" si="36"/>
        <v>17</v>
      </c>
      <c r="E202" t="str">
        <f t="shared" ca="1" si="37"/>
        <v>Native American</v>
      </c>
      <c r="F202" t="str">
        <f t="shared" ca="1" si="38"/>
        <v>PM</v>
      </c>
      <c r="G202" t="str">
        <f t="shared" ca="1" si="39"/>
        <v>Weekday</v>
      </c>
      <c r="H202" t="str">
        <f t="shared" ca="1" si="40"/>
        <v>Patient</v>
      </c>
      <c r="I202" t="str">
        <f t="shared" ca="1" si="41"/>
        <v>General Practice</v>
      </c>
      <c r="J202">
        <f t="shared" ca="1" si="42"/>
        <v>6</v>
      </c>
      <c r="K202">
        <f t="shared" ca="1" si="43"/>
        <v>30</v>
      </c>
    </row>
    <row r="203" spans="1:11" x14ac:dyDescent="0.3">
      <c r="A203" s="1">
        <f t="shared" ca="1" si="33"/>
        <v>44986</v>
      </c>
      <c r="B203" t="str">
        <f t="shared" si="34"/>
        <v>V0202</v>
      </c>
      <c r="C203" t="str">
        <f t="shared" ca="1" si="35"/>
        <v>Male</v>
      </c>
      <c r="D203">
        <f t="shared" ca="1" si="36"/>
        <v>69</v>
      </c>
      <c r="E203" t="str">
        <f t="shared" ca="1" si="37"/>
        <v>Pacific Islander</v>
      </c>
      <c r="F203" t="str">
        <f t="shared" ca="1" si="38"/>
        <v>AM</v>
      </c>
      <c r="G203" t="str">
        <f t="shared" ca="1" si="39"/>
        <v>Weekday</v>
      </c>
      <c r="H203" t="str">
        <f t="shared" ca="1" si="40"/>
        <v>Non-Patient</v>
      </c>
      <c r="I203" t="str">
        <f t="shared" ca="1" si="41"/>
        <v>Physiotherapy</v>
      </c>
      <c r="J203">
        <f t="shared" ca="1" si="42"/>
        <v>2</v>
      </c>
      <c r="K203">
        <f t="shared" ca="1" si="43"/>
        <v>86</v>
      </c>
    </row>
    <row r="204" spans="1:11" x14ac:dyDescent="0.3">
      <c r="A204" s="1">
        <f t="shared" ca="1" si="33"/>
        <v>45022</v>
      </c>
      <c r="B204" t="str">
        <f t="shared" si="34"/>
        <v>V0203</v>
      </c>
      <c r="C204" t="str">
        <f t="shared" ca="1" si="35"/>
        <v>Female</v>
      </c>
      <c r="D204">
        <f t="shared" ca="1" si="36"/>
        <v>55</v>
      </c>
      <c r="E204" t="str">
        <f t="shared" ca="1" si="37"/>
        <v>Pacific Islander</v>
      </c>
      <c r="F204" t="str">
        <f t="shared" ca="1" si="38"/>
        <v>PM</v>
      </c>
      <c r="G204" t="str">
        <f t="shared" ca="1" si="39"/>
        <v>Weekday</v>
      </c>
      <c r="H204" t="str">
        <f t="shared" ca="1" si="40"/>
        <v>Non-Patient</v>
      </c>
      <c r="I204" t="str">
        <f t="shared" ca="1" si="41"/>
        <v>Cardiology</v>
      </c>
      <c r="J204">
        <f t="shared" ca="1" si="42"/>
        <v>7</v>
      </c>
      <c r="K204">
        <f t="shared" ca="1" si="43"/>
        <v>25</v>
      </c>
    </row>
    <row r="205" spans="1:11" x14ac:dyDescent="0.3">
      <c r="A205" s="1">
        <f t="shared" ca="1" si="33"/>
        <v>44983</v>
      </c>
      <c r="B205" t="str">
        <f t="shared" si="34"/>
        <v>V0204</v>
      </c>
      <c r="C205" t="str">
        <f t="shared" ca="1" si="35"/>
        <v>Male</v>
      </c>
      <c r="D205">
        <f t="shared" ca="1" si="36"/>
        <v>49</v>
      </c>
      <c r="E205" t="str">
        <f t="shared" ca="1" si="37"/>
        <v>Asian</v>
      </c>
      <c r="F205" t="str">
        <f t="shared" ca="1" si="38"/>
        <v>PM</v>
      </c>
      <c r="G205" t="str">
        <f t="shared" ca="1" si="39"/>
        <v>Weekend</v>
      </c>
      <c r="H205" t="str">
        <f t="shared" ca="1" si="40"/>
        <v>Non-Patient</v>
      </c>
      <c r="I205" t="str">
        <f t="shared" ca="1" si="41"/>
        <v>Physiotherapy</v>
      </c>
      <c r="J205">
        <f t="shared" ca="1" si="42"/>
        <v>5</v>
      </c>
      <c r="K205">
        <f t="shared" ca="1" si="43"/>
        <v>54</v>
      </c>
    </row>
    <row r="206" spans="1:11" x14ac:dyDescent="0.3">
      <c r="A206" s="1">
        <f t="shared" ca="1" si="33"/>
        <v>45060</v>
      </c>
      <c r="B206" t="str">
        <f t="shared" si="34"/>
        <v>V0205</v>
      </c>
      <c r="C206" t="str">
        <f t="shared" ca="1" si="35"/>
        <v>Female</v>
      </c>
      <c r="D206">
        <f t="shared" ca="1" si="36"/>
        <v>3</v>
      </c>
      <c r="E206" t="str">
        <f t="shared" ca="1" si="37"/>
        <v>Asian</v>
      </c>
      <c r="F206" t="str">
        <f t="shared" ca="1" si="38"/>
        <v>PM</v>
      </c>
      <c r="G206" t="str">
        <f t="shared" ca="1" si="39"/>
        <v>Weekend</v>
      </c>
      <c r="H206" t="str">
        <f t="shared" ca="1" si="40"/>
        <v>Patient</v>
      </c>
      <c r="I206" t="str">
        <f t="shared" ca="1" si="41"/>
        <v>Neurology</v>
      </c>
      <c r="J206">
        <f t="shared" ca="1" si="42"/>
        <v>6</v>
      </c>
      <c r="K206">
        <f t="shared" ca="1" si="43"/>
        <v>27</v>
      </c>
    </row>
    <row r="207" spans="1:11" x14ac:dyDescent="0.3">
      <c r="A207" s="1">
        <f t="shared" ca="1" si="33"/>
        <v>44962</v>
      </c>
      <c r="B207" t="str">
        <f t="shared" si="34"/>
        <v>V0206</v>
      </c>
      <c r="C207" t="str">
        <f t="shared" ca="1" si="35"/>
        <v>Female</v>
      </c>
      <c r="D207">
        <f t="shared" ca="1" si="36"/>
        <v>73</v>
      </c>
      <c r="E207" t="str">
        <f t="shared" ca="1" si="37"/>
        <v>African American</v>
      </c>
      <c r="F207" t="str">
        <f t="shared" ca="1" si="38"/>
        <v>PM</v>
      </c>
      <c r="G207" t="str">
        <f t="shared" ca="1" si="39"/>
        <v>Weekend</v>
      </c>
      <c r="H207" t="str">
        <f t="shared" ca="1" si="40"/>
        <v>Non-Patient</v>
      </c>
      <c r="I207" t="str">
        <f t="shared" ca="1" si="41"/>
        <v>Orthopedics</v>
      </c>
      <c r="J207">
        <f t="shared" ca="1" si="42"/>
        <v>2</v>
      </c>
      <c r="K207">
        <f t="shared" ca="1" si="43"/>
        <v>40</v>
      </c>
    </row>
    <row r="208" spans="1:11" x14ac:dyDescent="0.3">
      <c r="A208" s="1">
        <f t="shared" ca="1" si="33"/>
        <v>45079</v>
      </c>
      <c r="B208" t="str">
        <f t="shared" si="34"/>
        <v>V0207</v>
      </c>
      <c r="C208" t="str">
        <f t="shared" ca="1" si="35"/>
        <v>Female</v>
      </c>
      <c r="D208">
        <f t="shared" ca="1" si="36"/>
        <v>66</v>
      </c>
      <c r="E208" t="str">
        <f t="shared" ca="1" si="37"/>
        <v>Native American</v>
      </c>
      <c r="F208" t="str">
        <f t="shared" ca="1" si="38"/>
        <v>PM</v>
      </c>
      <c r="G208" t="str">
        <f t="shared" ca="1" si="39"/>
        <v>Weekday</v>
      </c>
      <c r="H208" t="str">
        <f t="shared" ca="1" si="40"/>
        <v>Non-Patient</v>
      </c>
      <c r="I208" t="str">
        <f t="shared" ca="1" si="41"/>
        <v>Physiotherapy</v>
      </c>
      <c r="J208">
        <f t="shared" ca="1" si="42"/>
        <v>4</v>
      </c>
      <c r="K208">
        <f t="shared" ca="1" si="43"/>
        <v>88</v>
      </c>
    </row>
    <row r="209" spans="1:11" x14ac:dyDescent="0.3">
      <c r="A209" s="1">
        <f t="shared" ca="1" si="33"/>
        <v>45108</v>
      </c>
      <c r="B209" t="str">
        <f t="shared" si="34"/>
        <v>V0208</v>
      </c>
      <c r="C209" t="str">
        <f t="shared" ca="1" si="35"/>
        <v>Female</v>
      </c>
      <c r="D209">
        <f t="shared" ca="1" si="36"/>
        <v>22</v>
      </c>
      <c r="E209" t="str">
        <f t="shared" ca="1" si="37"/>
        <v>Pacific Islander</v>
      </c>
      <c r="F209" t="str">
        <f t="shared" ca="1" si="38"/>
        <v>AM</v>
      </c>
      <c r="G209" t="str">
        <f t="shared" ca="1" si="39"/>
        <v>Weekend</v>
      </c>
      <c r="H209" t="str">
        <f t="shared" ca="1" si="40"/>
        <v>Patient</v>
      </c>
      <c r="I209" t="str">
        <f t="shared" ca="1" si="41"/>
        <v>Neurology</v>
      </c>
      <c r="J209">
        <f t="shared" ca="1" si="42"/>
        <v>3</v>
      </c>
      <c r="K209">
        <f t="shared" ca="1" si="43"/>
        <v>83</v>
      </c>
    </row>
    <row r="210" spans="1:11" x14ac:dyDescent="0.3">
      <c r="A210" s="1">
        <f t="shared" ca="1" si="33"/>
        <v>45017</v>
      </c>
      <c r="B210" t="str">
        <f t="shared" si="34"/>
        <v>V0209</v>
      </c>
      <c r="C210" t="str">
        <f t="shared" ca="1" si="35"/>
        <v>Female</v>
      </c>
      <c r="D210">
        <f t="shared" ca="1" si="36"/>
        <v>5</v>
      </c>
      <c r="E210" t="str">
        <f t="shared" ca="1" si="37"/>
        <v>Pacific Islander</v>
      </c>
      <c r="F210" t="str">
        <f t="shared" ca="1" si="38"/>
        <v>AM</v>
      </c>
      <c r="G210" t="str">
        <f t="shared" ca="1" si="39"/>
        <v>Weekend</v>
      </c>
      <c r="H210" t="str">
        <f t="shared" ca="1" si="40"/>
        <v>Non-Patient</v>
      </c>
      <c r="I210" t="str">
        <f t="shared" ca="1" si="41"/>
        <v>General Practice</v>
      </c>
      <c r="J210">
        <f t="shared" ca="1" si="42"/>
        <v>2</v>
      </c>
      <c r="K210">
        <f t="shared" ca="1" si="43"/>
        <v>53</v>
      </c>
    </row>
    <row r="211" spans="1:11" x14ac:dyDescent="0.3">
      <c r="A211" s="1">
        <f t="shared" ca="1" si="33"/>
        <v>44961</v>
      </c>
      <c r="B211" t="str">
        <f t="shared" si="34"/>
        <v>V0210</v>
      </c>
      <c r="C211" t="str">
        <f t="shared" ca="1" si="35"/>
        <v>Male</v>
      </c>
      <c r="D211">
        <f t="shared" ca="1" si="36"/>
        <v>5</v>
      </c>
      <c r="E211" t="str">
        <f t="shared" ca="1" si="37"/>
        <v>White</v>
      </c>
      <c r="F211" t="str">
        <f t="shared" ca="1" si="38"/>
        <v>AM</v>
      </c>
      <c r="G211" t="str">
        <f t="shared" ca="1" si="39"/>
        <v>Weekend</v>
      </c>
      <c r="H211" t="str">
        <f t="shared" ca="1" si="40"/>
        <v>Non-Patient</v>
      </c>
      <c r="I211" t="str">
        <f t="shared" ca="1" si="41"/>
        <v>Orthopedics</v>
      </c>
      <c r="J211">
        <f t="shared" ca="1" si="42"/>
        <v>3</v>
      </c>
      <c r="K211">
        <f t="shared" ca="1" si="43"/>
        <v>38</v>
      </c>
    </row>
    <row r="212" spans="1:11" x14ac:dyDescent="0.3">
      <c r="A212" s="1">
        <f t="shared" ca="1" si="33"/>
        <v>45110</v>
      </c>
      <c r="B212" t="str">
        <f t="shared" si="34"/>
        <v>V0211</v>
      </c>
      <c r="C212" t="str">
        <f t="shared" ca="1" si="35"/>
        <v>Female</v>
      </c>
      <c r="D212">
        <f t="shared" ca="1" si="36"/>
        <v>62</v>
      </c>
      <c r="E212" t="str">
        <f t="shared" ca="1" si="37"/>
        <v>Asian</v>
      </c>
      <c r="F212" t="str">
        <f t="shared" ca="1" si="38"/>
        <v>PM</v>
      </c>
      <c r="G212" t="str">
        <f t="shared" ca="1" si="39"/>
        <v>Weekday</v>
      </c>
      <c r="H212" t="str">
        <f t="shared" ca="1" si="40"/>
        <v>Non-Patient</v>
      </c>
      <c r="I212" t="str">
        <f t="shared" ca="1" si="41"/>
        <v>Orthopedics</v>
      </c>
      <c r="J212">
        <f t="shared" ca="1" si="42"/>
        <v>4</v>
      </c>
      <c r="K212">
        <f t="shared" ca="1" si="43"/>
        <v>86</v>
      </c>
    </row>
    <row r="213" spans="1:11" x14ac:dyDescent="0.3">
      <c r="A213" s="1">
        <f t="shared" ca="1" si="33"/>
        <v>44948</v>
      </c>
      <c r="B213" t="str">
        <f t="shared" si="34"/>
        <v>V0212</v>
      </c>
      <c r="C213" t="str">
        <f t="shared" ca="1" si="35"/>
        <v>Male</v>
      </c>
      <c r="D213">
        <f t="shared" ca="1" si="36"/>
        <v>64</v>
      </c>
      <c r="E213" t="str">
        <f t="shared" ca="1" si="37"/>
        <v>Asian</v>
      </c>
      <c r="F213" t="str">
        <f t="shared" ca="1" si="38"/>
        <v>AM</v>
      </c>
      <c r="G213" t="str">
        <f t="shared" ca="1" si="39"/>
        <v>Weekend</v>
      </c>
      <c r="H213" t="str">
        <f t="shared" ca="1" si="40"/>
        <v>Non-Patient</v>
      </c>
      <c r="I213" t="str">
        <f t="shared" ca="1" si="41"/>
        <v>Neurology</v>
      </c>
      <c r="J213">
        <f t="shared" ca="1" si="42"/>
        <v>10</v>
      </c>
      <c r="K213">
        <f t="shared" ca="1" si="43"/>
        <v>32</v>
      </c>
    </row>
    <row r="214" spans="1:11" x14ac:dyDescent="0.3">
      <c r="A214" s="1">
        <f t="shared" ca="1" si="33"/>
        <v>44970</v>
      </c>
      <c r="B214" t="str">
        <f t="shared" si="34"/>
        <v>V0213</v>
      </c>
      <c r="C214" t="str">
        <f t="shared" ca="1" si="35"/>
        <v>Male</v>
      </c>
      <c r="D214">
        <f t="shared" ca="1" si="36"/>
        <v>50</v>
      </c>
      <c r="E214" t="str">
        <f t="shared" ca="1" si="37"/>
        <v>Native American</v>
      </c>
      <c r="F214" t="str">
        <f t="shared" ca="1" si="38"/>
        <v>AM</v>
      </c>
      <c r="G214" t="str">
        <f t="shared" ca="1" si="39"/>
        <v>Weekday</v>
      </c>
      <c r="H214" t="str">
        <f t="shared" ca="1" si="40"/>
        <v>Patient</v>
      </c>
      <c r="I214" t="str">
        <f t="shared" ca="1" si="41"/>
        <v>General Practice</v>
      </c>
      <c r="J214">
        <f t="shared" ca="1" si="42"/>
        <v>5</v>
      </c>
      <c r="K214">
        <f t="shared" ca="1" si="43"/>
        <v>72</v>
      </c>
    </row>
    <row r="215" spans="1:11" x14ac:dyDescent="0.3">
      <c r="A215" s="1">
        <f t="shared" ca="1" si="33"/>
        <v>45133</v>
      </c>
      <c r="B215" t="str">
        <f t="shared" si="34"/>
        <v>V0214</v>
      </c>
      <c r="C215" t="str">
        <f t="shared" ca="1" si="35"/>
        <v>Female</v>
      </c>
      <c r="D215">
        <f t="shared" ca="1" si="36"/>
        <v>49</v>
      </c>
      <c r="E215" t="str">
        <f t="shared" ca="1" si="37"/>
        <v>Native American</v>
      </c>
      <c r="F215" t="str">
        <f t="shared" ca="1" si="38"/>
        <v>PM</v>
      </c>
      <c r="G215" t="str">
        <f t="shared" ca="1" si="39"/>
        <v>Weekday</v>
      </c>
      <c r="H215" t="str">
        <f t="shared" ca="1" si="40"/>
        <v>Non-Patient</v>
      </c>
      <c r="I215" t="str">
        <f t="shared" ca="1" si="41"/>
        <v>Orthopedics</v>
      </c>
      <c r="J215">
        <f t="shared" ca="1" si="42"/>
        <v>9</v>
      </c>
      <c r="K215">
        <f t="shared" ca="1" si="43"/>
        <v>38</v>
      </c>
    </row>
    <row r="216" spans="1:11" x14ac:dyDescent="0.3">
      <c r="A216" s="1">
        <f t="shared" ca="1" si="33"/>
        <v>45188</v>
      </c>
      <c r="B216" t="str">
        <f t="shared" si="34"/>
        <v>V0215</v>
      </c>
      <c r="C216" t="str">
        <f t="shared" ca="1" si="35"/>
        <v>Male</v>
      </c>
      <c r="D216">
        <f t="shared" ca="1" si="36"/>
        <v>26</v>
      </c>
      <c r="E216" t="str">
        <f t="shared" ca="1" si="37"/>
        <v>Native American</v>
      </c>
      <c r="F216" t="str">
        <f t="shared" ca="1" si="38"/>
        <v>PM</v>
      </c>
      <c r="G216" t="str">
        <f t="shared" ca="1" si="39"/>
        <v>Weekday</v>
      </c>
      <c r="H216" t="str">
        <f t="shared" ca="1" si="40"/>
        <v>Non-Patient</v>
      </c>
      <c r="I216" t="str">
        <f t="shared" ca="1" si="41"/>
        <v>Cardiology</v>
      </c>
      <c r="J216">
        <f t="shared" ca="1" si="42"/>
        <v>8</v>
      </c>
      <c r="K216">
        <f t="shared" ca="1" si="43"/>
        <v>46</v>
      </c>
    </row>
    <row r="217" spans="1:11" x14ac:dyDescent="0.3">
      <c r="A217" s="1">
        <f t="shared" ca="1" si="33"/>
        <v>45160</v>
      </c>
      <c r="B217" t="str">
        <f t="shared" si="34"/>
        <v>V0216</v>
      </c>
      <c r="C217" t="str">
        <f t="shared" ca="1" si="35"/>
        <v>Male</v>
      </c>
      <c r="D217">
        <f t="shared" ca="1" si="36"/>
        <v>10</v>
      </c>
      <c r="E217" t="str">
        <f t="shared" ca="1" si="37"/>
        <v>African American</v>
      </c>
      <c r="F217" t="str">
        <f t="shared" ca="1" si="38"/>
        <v>PM</v>
      </c>
      <c r="G217" t="str">
        <f t="shared" ca="1" si="39"/>
        <v>Weekday</v>
      </c>
      <c r="H217" t="str">
        <f t="shared" ca="1" si="40"/>
        <v>Patient</v>
      </c>
      <c r="I217" t="str">
        <f t="shared" ca="1" si="41"/>
        <v>Physiotherapy</v>
      </c>
      <c r="J217">
        <f t="shared" ca="1" si="42"/>
        <v>9</v>
      </c>
      <c r="K217">
        <f t="shared" ca="1" si="43"/>
        <v>51</v>
      </c>
    </row>
    <row r="218" spans="1:11" x14ac:dyDescent="0.3">
      <c r="A218" s="1">
        <f t="shared" ca="1" si="33"/>
        <v>45200</v>
      </c>
      <c r="B218" t="str">
        <f t="shared" si="34"/>
        <v>V0217</v>
      </c>
      <c r="C218" t="str">
        <f t="shared" ca="1" si="35"/>
        <v>Male</v>
      </c>
      <c r="D218">
        <f t="shared" ca="1" si="36"/>
        <v>13</v>
      </c>
      <c r="E218" t="str">
        <f t="shared" ca="1" si="37"/>
        <v>African American</v>
      </c>
      <c r="F218" t="str">
        <f t="shared" ca="1" si="38"/>
        <v>AM</v>
      </c>
      <c r="G218" t="str">
        <f t="shared" ca="1" si="39"/>
        <v>Weekend</v>
      </c>
      <c r="H218" t="str">
        <f t="shared" ca="1" si="40"/>
        <v>Non-Patient</v>
      </c>
      <c r="I218" t="str">
        <f t="shared" ca="1" si="41"/>
        <v>Neurology</v>
      </c>
      <c r="J218">
        <f t="shared" ca="1" si="42"/>
        <v>5</v>
      </c>
      <c r="K218">
        <f t="shared" ca="1" si="43"/>
        <v>84</v>
      </c>
    </row>
    <row r="219" spans="1:11" x14ac:dyDescent="0.3">
      <c r="A219" s="1">
        <f t="shared" ca="1" si="33"/>
        <v>45085</v>
      </c>
      <c r="B219" t="str">
        <f t="shared" si="34"/>
        <v>V0218</v>
      </c>
      <c r="C219" t="str">
        <f t="shared" ca="1" si="35"/>
        <v>Male</v>
      </c>
      <c r="D219">
        <f t="shared" ca="1" si="36"/>
        <v>37</v>
      </c>
      <c r="E219" t="str">
        <f t="shared" ca="1" si="37"/>
        <v>White</v>
      </c>
      <c r="F219" t="str">
        <f t="shared" ca="1" si="38"/>
        <v>AM</v>
      </c>
      <c r="G219" t="str">
        <f t="shared" ca="1" si="39"/>
        <v>Weekday</v>
      </c>
      <c r="H219" t="str">
        <f t="shared" ca="1" si="40"/>
        <v>Non-Patient</v>
      </c>
      <c r="I219" t="str">
        <f t="shared" ca="1" si="41"/>
        <v>Neurology</v>
      </c>
      <c r="J219">
        <f t="shared" ca="1" si="42"/>
        <v>8</v>
      </c>
      <c r="K219">
        <f t="shared" ca="1" si="43"/>
        <v>16</v>
      </c>
    </row>
    <row r="220" spans="1:11" x14ac:dyDescent="0.3">
      <c r="A220" s="1">
        <f t="shared" ca="1" si="33"/>
        <v>44980</v>
      </c>
      <c r="B220" t="str">
        <f t="shared" si="34"/>
        <v>V0219</v>
      </c>
      <c r="C220" t="str">
        <f t="shared" ca="1" si="35"/>
        <v>Male</v>
      </c>
      <c r="D220">
        <f t="shared" ca="1" si="36"/>
        <v>11</v>
      </c>
      <c r="E220" t="str">
        <f t="shared" ca="1" si="37"/>
        <v>White</v>
      </c>
      <c r="F220" t="str">
        <f t="shared" ca="1" si="38"/>
        <v>AM</v>
      </c>
      <c r="G220" t="str">
        <f t="shared" ca="1" si="39"/>
        <v>Weekday</v>
      </c>
      <c r="H220" t="str">
        <f t="shared" ca="1" si="40"/>
        <v>Patient</v>
      </c>
      <c r="I220" t="str">
        <f t="shared" ca="1" si="41"/>
        <v>Orthopedics</v>
      </c>
      <c r="J220">
        <f t="shared" ca="1" si="42"/>
        <v>3</v>
      </c>
      <c r="K220">
        <f t="shared" ca="1" si="43"/>
        <v>74</v>
      </c>
    </row>
    <row r="221" spans="1:11" x14ac:dyDescent="0.3">
      <c r="A221" s="1">
        <f t="shared" ca="1" si="33"/>
        <v>45260</v>
      </c>
      <c r="B221" t="str">
        <f t="shared" si="34"/>
        <v>V0220</v>
      </c>
      <c r="C221" t="str">
        <f t="shared" ca="1" si="35"/>
        <v>Female</v>
      </c>
      <c r="D221">
        <f t="shared" ca="1" si="36"/>
        <v>29</v>
      </c>
      <c r="E221" t="str">
        <f t="shared" ca="1" si="37"/>
        <v>Pacific Islander</v>
      </c>
      <c r="F221" t="str">
        <f t="shared" ca="1" si="38"/>
        <v>PM</v>
      </c>
      <c r="G221" t="str">
        <f t="shared" ca="1" si="39"/>
        <v>Weekday</v>
      </c>
      <c r="H221" t="str">
        <f t="shared" ca="1" si="40"/>
        <v>Patient</v>
      </c>
      <c r="I221" t="str">
        <f t="shared" ca="1" si="41"/>
        <v>General Practice</v>
      </c>
      <c r="J221">
        <f t="shared" ca="1" si="42"/>
        <v>9</v>
      </c>
      <c r="K221">
        <f t="shared" ca="1" si="43"/>
        <v>49</v>
      </c>
    </row>
    <row r="222" spans="1:11" x14ac:dyDescent="0.3">
      <c r="A222" s="1">
        <f t="shared" ca="1" si="33"/>
        <v>45249</v>
      </c>
      <c r="B222" t="str">
        <f t="shared" si="34"/>
        <v>V0221</v>
      </c>
      <c r="C222" t="str">
        <f t="shared" ca="1" si="35"/>
        <v>Female</v>
      </c>
      <c r="D222">
        <f t="shared" ca="1" si="36"/>
        <v>63</v>
      </c>
      <c r="E222" t="str">
        <f t="shared" ca="1" si="37"/>
        <v>Native American</v>
      </c>
      <c r="F222" t="str">
        <f t="shared" ca="1" si="38"/>
        <v>PM</v>
      </c>
      <c r="G222" t="str">
        <f t="shared" ca="1" si="39"/>
        <v>Weekend</v>
      </c>
      <c r="H222" t="str">
        <f t="shared" ca="1" si="40"/>
        <v>Non-Patient</v>
      </c>
      <c r="I222" t="str">
        <f t="shared" ca="1" si="41"/>
        <v>Neurology</v>
      </c>
      <c r="J222">
        <f t="shared" ca="1" si="42"/>
        <v>4</v>
      </c>
      <c r="K222">
        <f t="shared" ca="1" si="43"/>
        <v>54</v>
      </c>
    </row>
    <row r="223" spans="1:11" x14ac:dyDescent="0.3">
      <c r="A223" s="1">
        <f t="shared" ca="1" si="33"/>
        <v>45124</v>
      </c>
      <c r="B223" t="str">
        <f t="shared" si="34"/>
        <v>V0222</v>
      </c>
      <c r="C223" t="str">
        <f t="shared" ca="1" si="35"/>
        <v>Female</v>
      </c>
      <c r="D223">
        <f t="shared" ca="1" si="36"/>
        <v>5</v>
      </c>
      <c r="E223" t="str">
        <f t="shared" ca="1" si="37"/>
        <v>Asian</v>
      </c>
      <c r="F223" t="str">
        <f t="shared" ca="1" si="38"/>
        <v>AM</v>
      </c>
      <c r="G223" t="str">
        <f t="shared" ca="1" si="39"/>
        <v>Weekday</v>
      </c>
      <c r="H223" t="str">
        <f t="shared" ca="1" si="40"/>
        <v>Non-Patient</v>
      </c>
      <c r="I223" t="str">
        <f t="shared" ca="1" si="41"/>
        <v>Orthopedics</v>
      </c>
      <c r="J223">
        <f t="shared" ca="1" si="42"/>
        <v>1</v>
      </c>
      <c r="K223">
        <f t="shared" ca="1" si="43"/>
        <v>83</v>
      </c>
    </row>
    <row r="224" spans="1:11" x14ac:dyDescent="0.3">
      <c r="A224" s="1">
        <f t="shared" ca="1" si="33"/>
        <v>44989</v>
      </c>
      <c r="B224" t="str">
        <f t="shared" si="34"/>
        <v>V0223</v>
      </c>
      <c r="C224" t="str">
        <f t="shared" ca="1" si="35"/>
        <v>Female</v>
      </c>
      <c r="D224">
        <f t="shared" ca="1" si="36"/>
        <v>24</v>
      </c>
      <c r="E224" t="str">
        <f t="shared" ca="1" si="37"/>
        <v>Pacific Islander</v>
      </c>
      <c r="F224" t="str">
        <f t="shared" ca="1" si="38"/>
        <v>AM</v>
      </c>
      <c r="G224" t="str">
        <f t="shared" ca="1" si="39"/>
        <v>Weekend</v>
      </c>
      <c r="H224" t="str">
        <f t="shared" ca="1" si="40"/>
        <v>Non-Patient</v>
      </c>
      <c r="I224" t="str">
        <f t="shared" ca="1" si="41"/>
        <v>General Practice</v>
      </c>
      <c r="J224">
        <f t="shared" ca="1" si="42"/>
        <v>9</v>
      </c>
      <c r="K224">
        <f t="shared" ca="1" si="43"/>
        <v>88</v>
      </c>
    </row>
    <row r="225" spans="1:11" x14ac:dyDescent="0.3">
      <c r="A225" s="1">
        <f t="shared" ca="1" si="33"/>
        <v>44987</v>
      </c>
      <c r="B225" t="str">
        <f t="shared" si="34"/>
        <v>V0224</v>
      </c>
      <c r="C225" t="str">
        <f t="shared" ca="1" si="35"/>
        <v>Female</v>
      </c>
      <c r="D225">
        <f t="shared" ca="1" si="36"/>
        <v>85</v>
      </c>
      <c r="E225" t="str">
        <f t="shared" ca="1" si="37"/>
        <v>White</v>
      </c>
      <c r="F225" t="str">
        <f t="shared" ca="1" si="38"/>
        <v>AM</v>
      </c>
      <c r="G225" t="str">
        <f t="shared" ca="1" si="39"/>
        <v>Weekday</v>
      </c>
      <c r="H225" t="str">
        <f t="shared" ca="1" si="40"/>
        <v>Non-Patient</v>
      </c>
      <c r="I225" t="str">
        <f t="shared" ca="1" si="41"/>
        <v>Physiotherapy</v>
      </c>
      <c r="J225">
        <f t="shared" ca="1" si="42"/>
        <v>9</v>
      </c>
      <c r="K225">
        <f t="shared" ca="1" si="43"/>
        <v>84</v>
      </c>
    </row>
    <row r="226" spans="1:11" x14ac:dyDescent="0.3">
      <c r="A226" s="1">
        <f t="shared" ca="1" si="33"/>
        <v>45166</v>
      </c>
      <c r="B226" t="str">
        <f t="shared" si="34"/>
        <v>V0225</v>
      </c>
      <c r="C226" t="str">
        <f t="shared" ca="1" si="35"/>
        <v>Male</v>
      </c>
      <c r="D226">
        <f t="shared" ca="1" si="36"/>
        <v>56</v>
      </c>
      <c r="E226" t="str">
        <f t="shared" ca="1" si="37"/>
        <v>Pacific Islander</v>
      </c>
      <c r="F226" t="str">
        <f t="shared" ca="1" si="38"/>
        <v>PM</v>
      </c>
      <c r="G226" t="str">
        <f t="shared" ca="1" si="39"/>
        <v>Weekday</v>
      </c>
      <c r="H226" t="str">
        <f t="shared" ca="1" si="40"/>
        <v>Patient</v>
      </c>
      <c r="I226" t="str">
        <f t="shared" ca="1" si="41"/>
        <v>General Practice</v>
      </c>
      <c r="J226">
        <f t="shared" ca="1" si="42"/>
        <v>8</v>
      </c>
      <c r="K226">
        <f t="shared" ca="1" si="43"/>
        <v>44</v>
      </c>
    </row>
    <row r="227" spans="1:11" x14ac:dyDescent="0.3">
      <c r="A227" s="1">
        <f t="shared" ca="1" si="33"/>
        <v>44944</v>
      </c>
      <c r="B227" t="str">
        <f t="shared" si="34"/>
        <v>V0226</v>
      </c>
      <c r="C227" t="str">
        <f t="shared" ca="1" si="35"/>
        <v>Female</v>
      </c>
      <c r="D227">
        <f t="shared" ca="1" si="36"/>
        <v>44</v>
      </c>
      <c r="E227" t="str">
        <f t="shared" ca="1" si="37"/>
        <v>Asian</v>
      </c>
      <c r="F227" t="str">
        <f t="shared" ca="1" si="38"/>
        <v>AM</v>
      </c>
      <c r="G227" t="str">
        <f t="shared" ca="1" si="39"/>
        <v>Weekday</v>
      </c>
      <c r="H227" t="str">
        <f t="shared" ca="1" si="40"/>
        <v>Non-Patient</v>
      </c>
      <c r="I227" t="str">
        <f t="shared" ca="1" si="41"/>
        <v>Orthopedics</v>
      </c>
      <c r="J227">
        <f t="shared" ca="1" si="42"/>
        <v>8</v>
      </c>
      <c r="K227">
        <f t="shared" ca="1" si="43"/>
        <v>33</v>
      </c>
    </row>
    <row r="228" spans="1:11" x14ac:dyDescent="0.3">
      <c r="A228" s="1">
        <f t="shared" ca="1" si="33"/>
        <v>44987</v>
      </c>
      <c r="B228" t="str">
        <f t="shared" si="34"/>
        <v>V0227</v>
      </c>
      <c r="C228" t="str">
        <f t="shared" ca="1" si="35"/>
        <v>Male</v>
      </c>
      <c r="D228">
        <f t="shared" ca="1" si="36"/>
        <v>68</v>
      </c>
      <c r="E228" t="str">
        <f t="shared" ca="1" si="37"/>
        <v>Pacific Islander</v>
      </c>
      <c r="F228" t="str">
        <f t="shared" ca="1" si="38"/>
        <v>PM</v>
      </c>
      <c r="G228" t="str">
        <f t="shared" ca="1" si="39"/>
        <v>Weekday</v>
      </c>
      <c r="H228" t="str">
        <f t="shared" ca="1" si="40"/>
        <v>Non-Patient</v>
      </c>
      <c r="I228" t="str">
        <f t="shared" ca="1" si="41"/>
        <v>Cardiology</v>
      </c>
      <c r="J228">
        <f t="shared" ca="1" si="42"/>
        <v>1</v>
      </c>
      <c r="K228">
        <f t="shared" ca="1" si="43"/>
        <v>41</v>
      </c>
    </row>
    <row r="229" spans="1:11" x14ac:dyDescent="0.3">
      <c r="A229" s="1">
        <f t="shared" ca="1" si="33"/>
        <v>45068</v>
      </c>
      <c r="B229" t="str">
        <f t="shared" si="34"/>
        <v>V0228</v>
      </c>
      <c r="C229" t="str">
        <f t="shared" ca="1" si="35"/>
        <v>Male</v>
      </c>
      <c r="D229">
        <f t="shared" ca="1" si="36"/>
        <v>8</v>
      </c>
      <c r="E229" t="str">
        <f t="shared" ca="1" si="37"/>
        <v>White</v>
      </c>
      <c r="F229" t="str">
        <f t="shared" ca="1" si="38"/>
        <v>AM</v>
      </c>
      <c r="G229" t="str">
        <f t="shared" ca="1" si="39"/>
        <v>Weekday</v>
      </c>
      <c r="H229" t="str">
        <f t="shared" ca="1" si="40"/>
        <v>Patient</v>
      </c>
      <c r="I229" t="str">
        <f t="shared" ca="1" si="41"/>
        <v>Orthopedics</v>
      </c>
      <c r="J229">
        <f t="shared" ca="1" si="42"/>
        <v>8</v>
      </c>
      <c r="K229">
        <f t="shared" ca="1" si="43"/>
        <v>19</v>
      </c>
    </row>
    <row r="230" spans="1:11" x14ac:dyDescent="0.3">
      <c r="A230" s="1">
        <f t="shared" ca="1" si="33"/>
        <v>45143</v>
      </c>
      <c r="B230" t="str">
        <f t="shared" si="34"/>
        <v>V0229</v>
      </c>
      <c r="C230" t="str">
        <f t="shared" ca="1" si="35"/>
        <v>Male</v>
      </c>
      <c r="D230">
        <f t="shared" ca="1" si="36"/>
        <v>55</v>
      </c>
      <c r="E230" t="str">
        <f t="shared" ca="1" si="37"/>
        <v>Pacific Islander</v>
      </c>
      <c r="F230" t="str">
        <f t="shared" ca="1" si="38"/>
        <v>AM</v>
      </c>
      <c r="G230" t="str">
        <f t="shared" ca="1" si="39"/>
        <v>Weekend</v>
      </c>
      <c r="H230" t="str">
        <f t="shared" ca="1" si="40"/>
        <v>Non-Patient</v>
      </c>
      <c r="I230" t="str">
        <f t="shared" ca="1" si="41"/>
        <v>Cardiology</v>
      </c>
      <c r="J230">
        <f t="shared" ca="1" si="42"/>
        <v>10</v>
      </c>
      <c r="K230">
        <f t="shared" ca="1" si="43"/>
        <v>43</v>
      </c>
    </row>
    <row r="231" spans="1:11" x14ac:dyDescent="0.3">
      <c r="A231" s="1">
        <f t="shared" ca="1" si="33"/>
        <v>45229</v>
      </c>
      <c r="B231" t="str">
        <f t="shared" si="34"/>
        <v>V0230</v>
      </c>
      <c r="C231" t="str">
        <f t="shared" ca="1" si="35"/>
        <v>Male</v>
      </c>
      <c r="D231">
        <f t="shared" ca="1" si="36"/>
        <v>23</v>
      </c>
      <c r="E231" t="str">
        <f t="shared" ca="1" si="37"/>
        <v>Pacific Islander</v>
      </c>
      <c r="F231" t="str">
        <f t="shared" ca="1" si="38"/>
        <v>PM</v>
      </c>
      <c r="G231" t="str">
        <f t="shared" ca="1" si="39"/>
        <v>Weekday</v>
      </c>
      <c r="H231" t="str">
        <f t="shared" ca="1" si="40"/>
        <v>Patient</v>
      </c>
      <c r="I231" t="str">
        <f t="shared" ca="1" si="41"/>
        <v>Orthopedics</v>
      </c>
      <c r="J231">
        <f t="shared" ca="1" si="42"/>
        <v>6</v>
      </c>
      <c r="K231">
        <f t="shared" ca="1" si="43"/>
        <v>83</v>
      </c>
    </row>
    <row r="232" spans="1:11" x14ac:dyDescent="0.3">
      <c r="A232" s="1">
        <f t="shared" ca="1" si="33"/>
        <v>45108</v>
      </c>
      <c r="B232" t="str">
        <f t="shared" si="34"/>
        <v>V0231</v>
      </c>
      <c r="C232" t="str">
        <f t="shared" ca="1" si="35"/>
        <v>Male</v>
      </c>
      <c r="D232">
        <f t="shared" ca="1" si="36"/>
        <v>27</v>
      </c>
      <c r="E232" t="str">
        <f t="shared" ca="1" si="37"/>
        <v>Native American</v>
      </c>
      <c r="F232" t="str">
        <f t="shared" ca="1" si="38"/>
        <v>PM</v>
      </c>
      <c r="G232" t="str">
        <f t="shared" ca="1" si="39"/>
        <v>Weekend</v>
      </c>
      <c r="H232" t="str">
        <f t="shared" ca="1" si="40"/>
        <v>Patient</v>
      </c>
      <c r="I232" t="str">
        <f t="shared" ca="1" si="41"/>
        <v>Orthopedics</v>
      </c>
      <c r="J232">
        <f t="shared" ca="1" si="42"/>
        <v>1</v>
      </c>
      <c r="K232">
        <f t="shared" ca="1" si="43"/>
        <v>69</v>
      </c>
    </row>
    <row r="233" spans="1:11" x14ac:dyDescent="0.3">
      <c r="A233" s="1">
        <f t="shared" ca="1" si="33"/>
        <v>45169</v>
      </c>
      <c r="B233" t="str">
        <f t="shared" si="34"/>
        <v>V0232</v>
      </c>
      <c r="C233" t="str">
        <f t="shared" ca="1" si="35"/>
        <v>Female</v>
      </c>
      <c r="D233">
        <f t="shared" ca="1" si="36"/>
        <v>48</v>
      </c>
      <c r="E233" t="str">
        <f t="shared" ca="1" si="37"/>
        <v>Pacific Islander</v>
      </c>
      <c r="F233" t="str">
        <f t="shared" ca="1" si="38"/>
        <v>PM</v>
      </c>
      <c r="G233" t="str">
        <f t="shared" ca="1" si="39"/>
        <v>Weekday</v>
      </c>
      <c r="H233" t="str">
        <f t="shared" ca="1" si="40"/>
        <v>Patient</v>
      </c>
      <c r="I233" t="str">
        <f t="shared" ca="1" si="41"/>
        <v>Neurology</v>
      </c>
      <c r="J233">
        <f t="shared" ca="1" si="42"/>
        <v>6</v>
      </c>
      <c r="K233">
        <f t="shared" ca="1" si="43"/>
        <v>83</v>
      </c>
    </row>
    <row r="234" spans="1:11" x14ac:dyDescent="0.3">
      <c r="A234" s="1">
        <f t="shared" ca="1" si="33"/>
        <v>45136</v>
      </c>
      <c r="B234" t="str">
        <f t="shared" si="34"/>
        <v>V0233</v>
      </c>
      <c r="C234" t="str">
        <f t="shared" ca="1" si="35"/>
        <v>Female</v>
      </c>
      <c r="D234">
        <f t="shared" ca="1" si="36"/>
        <v>55</v>
      </c>
      <c r="E234" t="str">
        <f t="shared" ca="1" si="37"/>
        <v>African American</v>
      </c>
      <c r="F234" t="str">
        <f t="shared" ca="1" si="38"/>
        <v>AM</v>
      </c>
      <c r="G234" t="str">
        <f t="shared" ca="1" si="39"/>
        <v>Weekend</v>
      </c>
      <c r="H234" t="str">
        <f t="shared" ca="1" si="40"/>
        <v>Non-Patient</v>
      </c>
      <c r="I234" t="str">
        <f t="shared" ca="1" si="41"/>
        <v>Orthopedics</v>
      </c>
      <c r="J234">
        <f t="shared" ca="1" si="42"/>
        <v>2</v>
      </c>
      <c r="K234">
        <f t="shared" ca="1" si="43"/>
        <v>19</v>
      </c>
    </row>
    <row r="235" spans="1:11" x14ac:dyDescent="0.3">
      <c r="A235" s="1">
        <f t="shared" ca="1" si="33"/>
        <v>45090</v>
      </c>
      <c r="B235" t="str">
        <f t="shared" si="34"/>
        <v>V0234</v>
      </c>
      <c r="C235" t="str">
        <f t="shared" ca="1" si="35"/>
        <v>Male</v>
      </c>
      <c r="D235">
        <f t="shared" ca="1" si="36"/>
        <v>39</v>
      </c>
      <c r="E235" t="str">
        <f t="shared" ca="1" si="37"/>
        <v>Native American</v>
      </c>
      <c r="F235" t="str">
        <f t="shared" ca="1" si="38"/>
        <v>PM</v>
      </c>
      <c r="G235" t="str">
        <f t="shared" ca="1" si="39"/>
        <v>Weekday</v>
      </c>
      <c r="H235" t="str">
        <f t="shared" ca="1" si="40"/>
        <v>Patient</v>
      </c>
      <c r="I235" t="str">
        <f t="shared" ca="1" si="41"/>
        <v>General Practice</v>
      </c>
      <c r="J235">
        <f t="shared" ca="1" si="42"/>
        <v>10</v>
      </c>
      <c r="K235">
        <f t="shared" ca="1" si="43"/>
        <v>32</v>
      </c>
    </row>
    <row r="236" spans="1:11" x14ac:dyDescent="0.3">
      <c r="A236" s="1">
        <f t="shared" ca="1" si="33"/>
        <v>45253</v>
      </c>
      <c r="B236" t="str">
        <f t="shared" si="34"/>
        <v>V0235</v>
      </c>
      <c r="C236" t="str">
        <f t="shared" ca="1" si="35"/>
        <v>Female</v>
      </c>
      <c r="D236">
        <f t="shared" ca="1" si="36"/>
        <v>50</v>
      </c>
      <c r="E236" t="str">
        <f t="shared" ca="1" si="37"/>
        <v>Native American</v>
      </c>
      <c r="F236" t="str">
        <f t="shared" ca="1" si="38"/>
        <v>PM</v>
      </c>
      <c r="G236" t="str">
        <f t="shared" ca="1" si="39"/>
        <v>Weekday</v>
      </c>
      <c r="H236" t="str">
        <f t="shared" ca="1" si="40"/>
        <v>Patient</v>
      </c>
      <c r="I236" t="str">
        <f t="shared" ca="1" si="41"/>
        <v>Orthopedics</v>
      </c>
      <c r="J236">
        <f t="shared" ca="1" si="42"/>
        <v>9</v>
      </c>
      <c r="K236">
        <f t="shared" ca="1" si="43"/>
        <v>46</v>
      </c>
    </row>
    <row r="237" spans="1:11" x14ac:dyDescent="0.3">
      <c r="A237" s="1">
        <f t="shared" ca="1" si="33"/>
        <v>45180</v>
      </c>
      <c r="B237" t="str">
        <f t="shared" si="34"/>
        <v>V0236</v>
      </c>
      <c r="C237" t="str">
        <f t="shared" ca="1" si="35"/>
        <v>Male</v>
      </c>
      <c r="D237">
        <f t="shared" ca="1" si="36"/>
        <v>36</v>
      </c>
      <c r="E237" t="str">
        <f t="shared" ca="1" si="37"/>
        <v>African American</v>
      </c>
      <c r="F237" t="str">
        <f t="shared" ca="1" si="38"/>
        <v>AM</v>
      </c>
      <c r="G237" t="str">
        <f t="shared" ca="1" si="39"/>
        <v>Weekday</v>
      </c>
      <c r="H237" t="str">
        <f t="shared" ca="1" si="40"/>
        <v>Non-Patient</v>
      </c>
      <c r="I237" t="str">
        <f t="shared" ca="1" si="41"/>
        <v>Cardiology</v>
      </c>
      <c r="J237">
        <f t="shared" ca="1" si="42"/>
        <v>3</v>
      </c>
      <c r="K237">
        <f t="shared" ca="1" si="43"/>
        <v>29</v>
      </c>
    </row>
    <row r="238" spans="1:11" x14ac:dyDescent="0.3">
      <c r="A238" s="1">
        <f t="shared" ca="1" si="33"/>
        <v>44978</v>
      </c>
      <c r="B238" t="str">
        <f t="shared" si="34"/>
        <v>V0237</v>
      </c>
      <c r="C238" t="str">
        <f t="shared" ca="1" si="35"/>
        <v>Female</v>
      </c>
      <c r="D238">
        <f t="shared" ca="1" si="36"/>
        <v>67</v>
      </c>
      <c r="E238" t="str">
        <f t="shared" ca="1" si="37"/>
        <v>Asian</v>
      </c>
      <c r="F238" t="str">
        <f t="shared" ca="1" si="38"/>
        <v>AM</v>
      </c>
      <c r="G238" t="str">
        <f t="shared" ca="1" si="39"/>
        <v>Weekday</v>
      </c>
      <c r="H238" t="str">
        <f t="shared" ca="1" si="40"/>
        <v>Non-Patient</v>
      </c>
      <c r="I238" t="str">
        <f t="shared" ca="1" si="41"/>
        <v>General Practice</v>
      </c>
      <c r="J238">
        <f t="shared" ca="1" si="42"/>
        <v>1</v>
      </c>
      <c r="K238">
        <f t="shared" ca="1" si="43"/>
        <v>16</v>
      </c>
    </row>
    <row r="239" spans="1:11" x14ac:dyDescent="0.3">
      <c r="A239" s="1">
        <f t="shared" ca="1" si="33"/>
        <v>44938</v>
      </c>
      <c r="B239" t="str">
        <f t="shared" si="34"/>
        <v>V0238</v>
      </c>
      <c r="C239" t="str">
        <f t="shared" ca="1" si="35"/>
        <v>Male</v>
      </c>
      <c r="D239">
        <f t="shared" ca="1" si="36"/>
        <v>83</v>
      </c>
      <c r="E239" t="str">
        <f t="shared" ca="1" si="37"/>
        <v>Pacific Islander</v>
      </c>
      <c r="F239" t="str">
        <f t="shared" ca="1" si="38"/>
        <v>PM</v>
      </c>
      <c r="G239" t="str">
        <f t="shared" ca="1" si="39"/>
        <v>Weekday</v>
      </c>
      <c r="H239" t="str">
        <f t="shared" ca="1" si="40"/>
        <v>Patient</v>
      </c>
      <c r="I239" t="str">
        <f t="shared" ca="1" si="41"/>
        <v>General Practice</v>
      </c>
      <c r="J239">
        <f t="shared" ca="1" si="42"/>
        <v>2</v>
      </c>
      <c r="K239">
        <f t="shared" ca="1" si="43"/>
        <v>35</v>
      </c>
    </row>
    <row r="240" spans="1:11" x14ac:dyDescent="0.3">
      <c r="A240" s="1">
        <f t="shared" ca="1" si="33"/>
        <v>45010</v>
      </c>
      <c r="B240" t="str">
        <f t="shared" si="34"/>
        <v>V0239</v>
      </c>
      <c r="C240" t="str">
        <f t="shared" ca="1" si="35"/>
        <v>Male</v>
      </c>
      <c r="D240">
        <f t="shared" ca="1" si="36"/>
        <v>45</v>
      </c>
      <c r="E240" t="str">
        <f t="shared" ca="1" si="37"/>
        <v>African American</v>
      </c>
      <c r="F240" t="str">
        <f t="shared" ca="1" si="38"/>
        <v>PM</v>
      </c>
      <c r="G240" t="str">
        <f t="shared" ca="1" si="39"/>
        <v>Weekend</v>
      </c>
      <c r="H240" t="str">
        <f t="shared" ca="1" si="40"/>
        <v>Patient</v>
      </c>
      <c r="I240" t="str">
        <f t="shared" ca="1" si="41"/>
        <v>Neurology</v>
      </c>
      <c r="J240">
        <f t="shared" ca="1" si="42"/>
        <v>3</v>
      </c>
      <c r="K240">
        <f t="shared" ca="1" si="43"/>
        <v>89</v>
      </c>
    </row>
    <row r="241" spans="1:11" x14ac:dyDescent="0.3">
      <c r="A241" s="1">
        <f t="shared" ca="1" si="33"/>
        <v>45189</v>
      </c>
      <c r="B241" t="str">
        <f t="shared" si="34"/>
        <v>V0240</v>
      </c>
      <c r="C241" t="str">
        <f t="shared" ca="1" si="35"/>
        <v>Male</v>
      </c>
      <c r="D241">
        <f t="shared" ca="1" si="36"/>
        <v>51</v>
      </c>
      <c r="E241" t="str">
        <f t="shared" ca="1" si="37"/>
        <v>White</v>
      </c>
      <c r="F241" t="str">
        <f t="shared" ca="1" si="38"/>
        <v>AM</v>
      </c>
      <c r="G241" t="str">
        <f t="shared" ca="1" si="39"/>
        <v>Weekday</v>
      </c>
      <c r="H241" t="str">
        <f t="shared" ca="1" si="40"/>
        <v>Non-Patient</v>
      </c>
      <c r="I241" t="str">
        <f t="shared" ca="1" si="41"/>
        <v>Physiotherapy</v>
      </c>
      <c r="J241">
        <f t="shared" ca="1" si="42"/>
        <v>4</v>
      </c>
      <c r="K241">
        <f t="shared" ca="1" si="43"/>
        <v>73</v>
      </c>
    </row>
    <row r="242" spans="1:11" x14ac:dyDescent="0.3">
      <c r="A242" s="1">
        <f t="shared" ca="1" si="33"/>
        <v>45237</v>
      </c>
      <c r="B242" t="str">
        <f t="shared" si="34"/>
        <v>V0241</v>
      </c>
      <c r="C242" t="str">
        <f t="shared" ca="1" si="35"/>
        <v>Male</v>
      </c>
      <c r="D242">
        <f t="shared" ca="1" si="36"/>
        <v>58</v>
      </c>
      <c r="E242" t="str">
        <f t="shared" ca="1" si="37"/>
        <v>African American</v>
      </c>
      <c r="F242" t="str">
        <f t="shared" ca="1" si="38"/>
        <v>AM</v>
      </c>
      <c r="G242" t="str">
        <f t="shared" ca="1" si="39"/>
        <v>Weekday</v>
      </c>
      <c r="H242" t="str">
        <f t="shared" ca="1" si="40"/>
        <v>Patient</v>
      </c>
      <c r="I242" t="str">
        <f t="shared" ca="1" si="41"/>
        <v>General Practice</v>
      </c>
      <c r="J242">
        <f t="shared" ca="1" si="42"/>
        <v>1</v>
      </c>
      <c r="K242">
        <f t="shared" ca="1" si="43"/>
        <v>81</v>
      </c>
    </row>
    <row r="243" spans="1:11" x14ac:dyDescent="0.3">
      <c r="A243" s="1">
        <f t="shared" ca="1" si="33"/>
        <v>45019</v>
      </c>
      <c r="B243" t="str">
        <f t="shared" si="34"/>
        <v>V0242</v>
      </c>
      <c r="C243" t="str">
        <f t="shared" ca="1" si="35"/>
        <v>Female</v>
      </c>
      <c r="D243">
        <f t="shared" ca="1" si="36"/>
        <v>66</v>
      </c>
      <c r="E243" t="str">
        <f t="shared" ca="1" si="37"/>
        <v>African American</v>
      </c>
      <c r="F243" t="str">
        <f t="shared" ca="1" si="38"/>
        <v>PM</v>
      </c>
      <c r="G243" t="str">
        <f t="shared" ca="1" si="39"/>
        <v>Weekday</v>
      </c>
      <c r="H243" t="str">
        <f t="shared" ca="1" si="40"/>
        <v>Non-Patient</v>
      </c>
      <c r="I243" t="str">
        <f t="shared" ca="1" si="41"/>
        <v>Cardiology</v>
      </c>
      <c r="J243">
        <f t="shared" ca="1" si="42"/>
        <v>9</v>
      </c>
      <c r="K243">
        <f t="shared" ca="1" si="43"/>
        <v>57</v>
      </c>
    </row>
    <row r="244" spans="1:11" x14ac:dyDescent="0.3">
      <c r="A244" s="1">
        <f t="shared" ca="1" si="33"/>
        <v>45173</v>
      </c>
      <c r="B244" t="str">
        <f t="shared" si="34"/>
        <v>V0243</v>
      </c>
      <c r="C244" t="str">
        <f t="shared" ca="1" si="35"/>
        <v>Female</v>
      </c>
      <c r="D244">
        <f t="shared" ca="1" si="36"/>
        <v>47</v>
      </c>
      <c r="E244" t="str">
        <f t="shared" ca="1" si="37"/>
        <v>White</v>
      </c>
      <c r="F244" t="str">
        <f t="shared" ca="1" si="38"/>
        <v>AM</v>
      </c>
      <c r="G244" t="str">
        <f t="shared" ca="1" si="39"/>
        <v>Weekday</v>
      </c>
      <c r="H244" t="str">
        <f t="shared" ca="1" si="40"/>
        <v>Non-Patient</v>
      </c>
      <c r="I244" t="str">
        <f t="shared" ca="1" si="41"/>
        <v>Orthopedics</v>
      </c>
      <c r="J244">
        <f t="shared" ca="1" si="42"/>
        <v>8</v>
      </c>
      <c r="K244">
        <f t="shared" ca="1" si="43"/>
        <v>85</v>
      </c>
    </row>
    <row r="245" spans="1:11" x14ac:dyDescent="0.3">
      <c r="A245" s="1">
        <f t="shared" ca="1" si="33"/>
        <v>44927</v>
      </c>
      <c r="B245" t="str">
        <f t="shared" si="34"/>
        <v>V0244</v>
      </c>
      <c r="C245" t="str">
        <f t="shared" ca="1" si="35"/>
        <v>Male</v>
      </c>
      <c r="D245">
        <f t="shared" ca="1" si="36"/>
        <v>16</v>
      </c>
      <c r="E245" t="str">
        <f t="shared" ca="1" si="37"/>
        <v>African American</v>
      </c>
      <c r="F245" t="str">
        <f t="shared" ca="1" si="38"/>
        <v>AM</v>
      </c>
      <c r="G245" t="str">
        <f t="shared" ca="1" si="39"/>
        <v>Weekend</v>
      </c>
      <c r="H245" t="str">
        <f t="shared" ca="1" si="40"/>
        <v>Patient</v>
      </c>
      <c r="I245" t="str">
        <f t="shared" ca="1" si="41"/>
        <v>Neurology</v>
      </c>
      <c r="J245">
        <f t="shared" ca="1" si="42"/>
        <v>1</v>
      </c>
      <c r="K245">
        <f t="shared" ca="1" si="43"/>
        <v>37</v>
      </c>
    </row>
    <row r="246" spans="1:11" x14ac:dyDescent="0.3">
      <c r="A246" s="1">
        <f t="shared" ca="1" si="33"/>
        <v>45273</v>
      </c>
      <c r="B246" t="str">
        <f t="shared" si="34"/>
        <v>V0245</v>
      </c>
      <c r="C246" t="str">
        <f t="shared" ca="1" si="35"/>
        <v>Male</v>
      </c>
      <c r="D246">
        <f t="shared" ca="1" si="36"/>
        <v>37</v>
      </c>
      <c r="E246" t="str">
        <f t="shared" ca="1" si="37"/>
        <v>Native American</v>
      </c>
      <c r="F246" t="str">
        <f t="shared" ca="1" si="38"/>
        <v>PM</v>
      </c>
      <c r="G246" t="str">
        <f t="shared" ca="1" si="39"/>
        <v>Weekday</v>
      </c>
      <c r="H246" t="str">
        <f t="shared" ca="1" si="40"/>
        <v>Patient</v>
      </c>
      <c r="I246" t="str">
        <f t="shared" ca="1" si="41"/>
        <v>General Practice</v>
      </c>
      <c r="J246">
        <f t="shared" ca="1" si="42"/>
        <v>8</v>
      </c>
      <c r="K246">
        <f t="shared" ca="1" si="43"/>
        <v>70</v>
      </c>
    </row>
    <row r="247" spans="1:11" x14ac:dyDescent="0.3">
      <c r="A247" s="1">
        <f t="shared" ca="1" si="33"/>
        <v>45024</v>
      </c>
      <c r="B247" t="str">
        <f t="shared" si="34"/>
        <v>V0246</v>
      </c>
      <c r="C247" t="str">
        <f t="shared" ca="1" si="35"/>
        <v>Female</v>
      </c>
      <c r="D247">
        <f t="shared" ca="1" si="36"/>
        <v>54</v>
      </c>
      <c r="E247" t="str">
        <f t="shared" ca="1" si="37"/>
        <v>African American</v>
      </c>
      <c r="F247" t="str">
        <f t="shared" ca="1" si="38"/>
        <v>PM</v>
      </c>
      <c r="G247" t="str">
        <f t="shared" ca="1" si="39"/>
        <v>Weekend</v>
      </c>
      <c r="H247" t="str">
        <f t="shared" ca="1" si="40"/>
        <v>Non-Patient</v>
      </c>
      <c r="I247" t="str">
        <f t="shared" ca="1" si="41"/>
        <v>General Practice</v>
      </c>
      <c r="J247">
        <f t="shared" ca="1" si="42"/>
        <v>5</v>
      </c>
      <c r="K247">
        <f t="shared" ca="1" si="43"/>
        <v>63</v>
      </c>
    </row>
    <row r="248" spans="1:11" x14ac:dyDescent="0.3">
      <c r="A248" s="1">
        <f t="shared" ca="1" si="33"/>
        <v>44994</v>
      </c>
      <c r="B248" t="str">
        <f t="shared" si="34"/>
        <v>V0247</v>
      </c>
      <c r="C248" t="str">
        <f t="shared" ca="1" si="35"/>
        <v>Female</v>
      </c>
      <c r="D248">
        <f t="shared" ca="1" si="36"/>
        <v>17</v>
      </c>
      <c r="E248" t="str">
        <f t="shared" ca="1" si="37"/>
        <v>Native American</v>
      </c>
      <c r="F248" t="str">
        <f t="shared" ca="1" si="38"/>
        <v>AM</v>
      </c>
      <c r="G248" t="str">
        <f t="shared" ca="1" si="39"/>
        <v>Weekday</v>
      </c>
      <c r="H248" t="str">
        <f t="shared" ca="1" si="40"/>
        <v>Non-Patient</v>
      </c>
      <c r="I248" t="str">
        <f t="shared" ca="1" si="41"/>
        <v>General Practice</v>
      </c>
      <c r="J248">
        <f t="shared" ca="1" si="42"/>
        <v>8</v>
      </c>
      <c r="K248">
        <f t="shared" ca="1" si="43"/>
        <v>37</v>
      </c>
    </row>
    <row r="249" spans="1:11" x14ac:dyDescent="0.3">
      <c r="A249" s="1">
        <f t="shared" ca="1" si="33"/>
        <v>45120</v>
      </c>
      <c r="B249" t="str">
        <f t="shared" si="34"/>
        <v>V0248</v>
      </c>
      <c r="C249" t="str">
        <f t="shared" ca="1" si="35"/>
        <v>Female</v>
      </c>
      <c r="D249">
        <f t="shared" ca="1" si="36"/>
        <v>17</v>
      </c>
      <c r="E249" t="str">
        <f t="shared" ca="1" si="37"/>
        <v>White</v>
      </c>
      <c r="F249" t="str">
        <f t="shared" ca="1" si="38"/>
        <v>PM</v>
      </c>
      <c r="G249" t="str">
        <f t="shared" ca="1" si="39"/>
        <v>Weekday</v>
      </c>
      <c r="H249" t="str">
        <f t="shared" ca="1" si="40"/>
        <v>Patient</v>
      </c>
      <c r="I249" t="str">
        <f t="shared" ca="1" si="41"/>
        <v>Physiotherapy</v>
      </c>
      <c r="J249">
        <f t="shared" ca="1" si="42"/>
        <v>5</v>
      </c>
      <c r="K249">
        <f t="shared" ca="1" si="43"/>
        <v>15</v>
      </c>
    </row>
    <row r="250" spans="1:11" x14ac:dyDescent="0.3">
      <c r="A250" s="1">
        <f t="shared" ca="1" si="33"/>
        <v>45128</v>
      </c>
      <c r="B250" t="str">
        <f t="shared" si="34"/>
        <v>V0249</v>
      </c>
      <c r="C250" t="str">
        <f t="shared" ca="1" si="35"/>
        <v>Male</v>
      </c>
      <c r="D250">
        <f t="shared" ca="1" si="36"/>
        <v>35</v>
      </c>
      <c r="E250" t="str">
        <f t="shared" ca="1" si="37"/>
        <v>White</v>
      </c>
      <c r="F250" t="str">
        <f t="shared" ca="1" si="38"/>
        <v>PM</v>
      </c>
      <c r="G250" t="str">
        <f t="shared" ca="1" si="39"/>
        <v>Weekday</v>
      </c>
      <c r="H250" t="str">
        <f t="shared" ca="1" si="40"/>
        <v>Patient</v>
      </c>
      <c r="I250" t="str">
        <f t="shared" ca="1" si="41"/>
        <v>Orthopedics</v>
      </c>
      <c r="J250">
        <f t="shared" ca="1" si="42"/>
        <v>4</v>
      </c>
      <c r="K250">
        <f t="shared" ca="1" si="43"/>
        <v>34</v>
      </c>
    </row>
    <row r="251" spans="1:11" x14ac:dyDescent="0.3">
      <c r="A251" s="1">
        <f t="shared" ca="1" si="33"/>
        <v>45130</v>
      </c>
      <c r="B251" t="str">
        <f t="shared" si="34"/>
        <v>V0250</v>
      </c>
      <c r="C251" t="str">
        <f t="shared" ca="1" si="35"/>
        <v>Male</v>
      </c>
      <c r="D251">
        <f t="shared" ca="1" si="36"/>
        <v>38</v>
      </c>
      <c r="E251" t="str">
        <f t="shared" ca="1" si="37"/>
        <v>Pacific Islander</v>
      </c>
      <c r="F251" t="str">
        <f t="shared" ca="1" si="38"/>
        <v>PM</v>
      </c>
      <c r="G251" t="str">
        <f t="shared" ca="1" si="39"/>
        <v>Weekend</v>
      </c>
      <c r="H251" t="str">
        <f t="shared" ca="1" si="40"/>
        <v>Patient</v>
      </c>
      <c r="I251" t="str">
        <f t="shared" ca="1" si="41"/>
        <v>Physiotherapy</v>
      </c>
      <c r="J251">
        <f t="shared" ca="1" si="42"/>
        <v>6</v>
      </c>
      <c r="K251">
        <f t="shared" ca="1" si="43"/>
        <v>79</v>
      </c>
    </row>
    <row r="252" spans="1:11" x14ac:dyDescent="0.3">
      <c r="A252" s="1">
        <f t="shared" ca="1" si="33"/>
        <v>45115</v>
      </c>
      <c r="B252" t="str">
        <f t="shared" si="34"/>
        <v>V0251</v>
      </c>
      <c r="C252" t="str">
        <f t="shared" ca="1" si="35"/>
        <v>Male</v>
      </c>
      <c r="D252">
        <f t="shared" ca="1" si="36"/>
        <v>43</v>
      </c>
      <c r="E252" t="str">
        <f t="shared" ca="1" si="37"/>
        <v>African American</v>
      </c>
      <c r="F252" t="str">
        <f t="shared" ca="1" si="38"/>
        <v>PM</v>
      </c>
      <c r="G252" t="str">
        <f t="shared" ca="1" si="39"/>
        <v>Weekend</v>
      </c>
      <c r="H252" t="str">
        <f t="shared" ca="1" si="40"/>
        <v>Patient</v>
      </c>
      <c r="I252" t="str">
        <f t="shared" ca="1" si="41"/>
        <v>General Practice</v>
      </c>
      <c r="J252">
        <f t="shared" ca="1" si="42"/>
        <v>10</v>
      </c>
      <c r="K252">
        <f t="shared" ca="1" si="43"/>
        <v>53</v>
      </c>
    </row>
    <row r="253" spans="1:11" x14ac:dyDescent="0.3">
      <c r="A253" s="1">
        <f t="shared" ca="1" si="33"/>
        <v>45125</v>
      </c>
      <c r="B253" t="str">
        <f t="shared" si="34"/>
        <v>V0252</v>
      </c>
      <c r="C253" t="str">
        <f t="shared" ca="1" si="35"/>
        <v>Male</v>
      </c>
      <c r="D253">
        <f t="shared" ca="1" si="36"/>
        <v>47</v>
      </c>
      <c r="E253" t="str">
        <f t="shared" ca="1" si="37"/>
        <v>White</v>
      </c>
      <c r="F253" t="str">
        <f t="shared" ca="1" si="38"/>
        <v>AM</v>
      </c>
      <c r="G253" t="str">
        <f t="shared" ca="1" si="39"/>
        <v>Weekday</v>
      </c>
      <c r="H253" t="str">
        <f t="shared" ca="1" si="40"/>
        <v>Non-Patient</v>
      </c>
      <c r="I253" t="str">
        <f t="shared" ca="1" si="41"/>
        <v>General Practice</v>
      </c>
      <c r="J253">
        <f t="shared" ca="1" si="42"/>
        <v>2</v>
      </c>
      <c r="K253">
        <f t="shared" ca="1" si="43"/>
        <v>17</v>
      </c>
    </row>
    <row r="254" spans="1:11" x14ac:dyDescent="0.3">
      <c r="A254" s="1">
        <f t="shared" ca="1" si="33"/>
        <v>45221</v>
      </c>
      <c r="B254" t="str">
        <f t="shared" si="34"/>
        <v>V0253</v>
      </c>
      <c r="C254" t="str">
        <f t="shared" ca="1" si="35"/>
        <v>Male</v>
      </c>
      <c r="D254">
        <f t="shared" ca="1" si="36"/>
        <v>18</v>
      </c>
      <c r="E254" t="str">
        <f t="shared" ca="1" si="37"/>
        <v>Pacific Islander</v>
      </c>
      <c r="F254" t="str">
        <f t="shared" ca="1" si="38"/>
        <v>AM</v>
      </c>
      <c r="G254" t="str">
        <f t="shared" ca="1" si="39"/>
        <v>Weekend</v>
      </c>
      <c r="H254" t="str">
        <f t="shared" ca="1" si="40"/>
        <v>Non-Patient</v>
      </c>
      <c r="I254" t="str">
        <f t="shared" ca="1" si="41"/>
        <v>Orthopedics</v>
      </c>
      <c r="J254">
        <f t="shared" ca="1" si="42"/>
        <v>1</v>
      </c>
      <c r="K254">
        <f t="shared" ca="1" si="43"/>
        <v>22</v>
      </c>
    </row>
    <row r="255" spans="1:11" x14ac:dyDescent="0.3">
      <c r="A255" s="1">
        <f t="shared" ca="1" si="33"/>
        <v>45219</v>
      </c>
      <c r="B255" t="str">
        <f t="shared" si="34"/>
        <v>V0254</v>
      </c>
      <c r="C255" t="str">
        <f t="shared" ca="1" si="35"/>
        <v>Male</v>
      </c>
      <c r="D255">
        <f t="shared" ca="1" si="36"/>
        <v>22</v>
      </c>
      <c r="E255" t="str">
        <f t="shared" ca="1" si="37"/>
        <v>African American</v>
      </c>
      <c r="F255" t="str">
        <f t="shared" ca="1" si="38"/>
        <v>PM</v>
      </c>
      <c r="G255" t="str">
        <f t="shared" ca="1" si="39"/>
        <v>Weekday</v>
      </c>
      <c r="H255" t="str">
        <f t="shared" ca="1" si="40"/>
        <v>Patient</v>
      </c>
      <c r="I255" t="str">
        <f t="shared" ca="1" si="41"/>
        <v>Neurology</v>
      </c>
      <c r="J255">
        <f t="shared" ca="1" si="42"/>
        <v>6</v>
      </c>
      <c r="K255">
        <f t="shared" ca="1" si="43"/>
        <v>37</v>
      </c>
    </row>
    <row r="256" spans="1:11" x14ac:dyDescent="0.3">
      <c r="A256" s="1">
        <f t="shared" ca="1" si="33"/>
        <v>45199</v>
      </c>
      <c r="B256" t="str">
        <f t="shared" si="34"/>
        <v>V0255</v>
      </c>
      <c r="C256" t="str">
        <f t="shared" ca="1" si="35"/>
        <v>Female</v>
      </c>
      <c r="D256">
        <f t="shared" ca="1" si="36"/>
        <v>82</v>
      </c>
      <c r="E256" t="str">
        <f t="shared" ca="1" si="37"/>
        <v>Pacific Islander</v>
      </c>
      <c r="F256" t="str">
        <f t="shared" ca="1" si="38"/>
        <v>PM</v>
      </c>
      <c r="G256" t="str">
        <f t="shared" ca="1" si="39"/>
        <v>Weekend</v>
      </c>
      <c r="H256" t="str">
        <f t="shared" ca="1" si="40"/>
        <v>Patient</v>
      </c>
      <c r="I256" t="str">
        <f t="shared" ca="1" si="41"/>
        <v>Physiotherapy</v>
      </c>
      <c r="J256">
        <f t="shared" ca="1" si="42"/>
        <v>4</v>
      </c>
      <c r="K256">
        <f t="shared" ca="1" si="43"/>
        <v>20</v>
      </c>
    </row>
    <row r="257" spans="1:11" x14ac:dyDescent="0.3">
      <c r="A257" s="1">
        <f t="shared" ca="1" si="33"/>
        <v>45272</v>
      </c>
      <c r="B257" t="str">
        <f t="shared" si="34"/>
        <v>V0256</v>
      </c>
      <c r="C257" t="str">
        <f t="shared" ca="1" si="35"/>
        <v>Male</v>
      </c>
      <c r="D257">
        <f t="shared" ca="1" si="36"/>
        <v>60</v>
      </c>
      <c r="E257" t="str">
        <f t="shared" ca="1" si="37"/>
        <v>African American</v>
      </c>
      <c r="F257" t="str">
        <f t="shared" ca="1" si="38"/>
        <v>PM</v>
      </c>
      <c r="G257" t="str">
        <f t="shared" ca="1" si="39"/>
        <v>Weekday</v>
      </c>
      <c r="H257" t="str">
        <f t="shared" ca="1" si="40"/>
        <v>Non-Patient</v>
      </c>
      <c r="I257" t="str">
        <f t="shared" ca="1" si="41"/>
        <v>Physiotherapy</v>
      </c>
      <c r="J257">
        <f t="shared" ca="1" si="42"/>
        <v>2</v>
      </c>
      <c r="K257">
        <f t="shared" ca="1" si="43"/>
        <v>36</v>
      </c>
    </row>
    <row r="258" spans="1:11" x14ac:dyDescent="0.3">
      <c r="A258" s="1">
        <f t="shared" ca="1" si="33"/>
        <v>45215</v>
      </c>
      <c r="B258" t="str">
        <f t="shared" si="34"/>
        <v>V0257</v>
      </c>
      <c r="C258" t="str">
        <f t="shared" ca="1" si="35"/>
        <v>Male</v>
      </c>
      <c r="D258">
        <f t="shared" ca="1" si="36"/>
        <v>37</v>
      </c>
      <c r="E258" t="str">
        <f t="shared" ca="1" si="37"/>
        <v>Asian</v>
      </c>
      <c r="F258" t="str">
        <f t="shared" ca="1" si="38"/>
        <v>PM</v>
      </c>
      <c r="G258" t="str">
        <f t="shared" ca="1" si="39"/>
        <v>Weekday</v>
      </c>
      <c r="H258" t="str">
        <f t="shared" ca="1" si="40"/>
        <v>Patient</v>
      </c>
      <c r="I258" t="str">
        <f t="shared" ca="1" si="41"/>
        <v>Neurology</v>
      </c>
      <c r="J258">
        <f t="shared" ca="1" si="42"/>
        <v>6</v>
      </c>
      <c r="K258">
        <f t="shared" ca="1" si="43"/>
        <v>18</v>
      </c>
    </row>
    <row r="259" spans="1:11" x14ac:dyDescent="0.3">
      <c r="A259" s="1">
        <f t="shared" ref="A259:A322" ca="1" si="44">DATE(2023,1,1)+RANDBETWEEN(0,365)</f>
        <v>45165</v>
      </c>
      <c r="B259" t="str">
        <f t="shared" ref="B259:B322" si="45">"V"&amp;TEXT(ROW(A259)-1,"0000")</f>
        <v>V0258</v>
      </c>
      <c r="C259" t="str">
        <f t="shared" ref="C259:C322" ca="1" si="46">IF(RAND()&gt;0.5,"Male","Female")</f>
        <v>Male</v>
      </c>
      <c r="D259">
        <f t="shared" ref="D259:D322" ca="1" si="47">RANDBETWEEN(1,85)</f>
        <v>75</v>
      </c>
      <c r="E259" t="str">
        <f t="shared" ref="E259:E322" ca="1" si="48">CHOOSE(RANDBETWEEN(1,5),"White","African American","Asian","Pacific Islander","Native American")</f>
        <v>Native American</v>
      </c>
      <c r="F259" t="str">
        <f t="shared" ref="F259:F322" ca="1" si="49">IF(RAND()&gt;0.5,"AM","PM")</f>
        <v>AM</v>
      </c>
      <c r="G259" t="str">
        <f t="shared" ref="G259:G322" ca="1" si="50">IF(WEEKDAY(A259,2)&lt;=5,"Weekday","Weekend")</f>
        <v>Weekend</v>
      </c>
      <c r="H259" t="str">
        <f t="shared" ref="H259:H322" ca="1" si="51">IF(RAND()&gt;0.5,"Patient","Non-Patient")</f>
        <v>Non-Patient</v>
      </c>
      <c r="I259" t="str">
        <f t="shared" ref="I259:I322" ca="1" si="52">CHOOSE(RANDBETWEEN(1,5),"General Practice","Orthopedics","Cardiology","Physiotherapy","Neurology")</f>
        <v>Cardiology</v>
      </c>
      <c r="J259">
        <f t="shared" ref="J259:J322" ca="1" si="53">RANDBETWEEN(1,10)</f>
        <v>3</v>
      </c>
      <c r="K259">
        <f t="shared" ref="K259:K322" ca="1" si="54">RANDBETWEEN(10,90)</f>
        <v>15</v>
      </c>
    </row>
    <row r="260" spans="1:11" x14ac:dyDescent="0.3">
      <c r="A260" s="1">
        <f t="shared" ca="1" si="44"/>
        <v>45091</v>
      </c>
      <c r="B260" t="str">
        <f t="shared" si="45"/>
        <v>V0259</v>
      </c>
      <c r="C260" t="str">
        <f t="shared" ca="1" si="46"/>
        <v>Male</v>
      </c>
      <c r="D260">
        <f t="shared" ca="1" si="47"/>
        <v>4</v>
      </c>
      <c r="E260" t="str">
        <f t="shared" ca="1" si="48"/>
        <v>Native American</v>
      </c>
      <c r="F260" t="str">
        <f t="shared" ca="1" si="49"/>
        <v>AM</v>
      </c>
      <c r="G260" t="str">
        <f t="shared" ca="1" si="50"/>
        <v>Weekday</v>
      </c>
      <c r="H260" t="str">
        <f t="shared" ca="1" si="51"/>
        <v>Non-Patient</v>
      </c>
      <c r="I260" t="str">
        <f t="shared" ca="1" si="52"/>
        <v>General Practice</v>
      </c>
      <c r="J260">
        <f t="shared" ca="1" si="53"/>
        <v>10</v>
      </c>
      <c r="K260">
        <f t="shared" ca="1" si="54"/>
        <v>14</v>
      </c>
    </row>
    <row r="261" spans="1:11" x14ac:dyDescent="0.3">
      <c r="A261" s="1">
        <f t="shared" ca="1" si="44"/>
        <v>44977</v>
      </c>
      <c r="B261" t="str">
        <f t="shared" si="45"/>
        <v>V0260</v>
      </c>
      <c r="C261" t="str">
        <f t="shared" ca="1" si="46"/>
        <v>Male</v>
      </c>
      <c r="D261">
        <f t="shared" ca="1" si="47"/>
        <v>40</v>
      </c>
      <c r="E261" t="str">
        <f t="shared" ca="1" si="48"/>
        <v>Asian</v>
      </c>
      <c r="F261" t="str">
        <f t="shared" ca="1" si="49"/>
        <v>PM</v>
      </c>
      <c r="G261" t="str">
        <f t="shared" ca="1" si="50"/>
        <v>Weekday</v>
      </c>
      <c r="H261" t="str">
        <f t="shared" ca="1" si="51"/>
        <v>Patient</v>
      </c>
      <c r="I261" t="str">
        <f t="shared" ca="1" si="52"/>
        <v>General Practice</v>
      </c>
      <c r="J261">
        <f t="shared" ca="1" si="53"/>
        <v>6</v>
      </c>
      <c r="K261">
        <f t="shared" ca="1" si="54"/>
        <v>56</v>
      </c>
    </row>
    <row r="262" spans="1:11" x14ac:dyDescent="0.3">
      <c r="A262" s="1">
        <f t="shared" ca="1" si="44"/>
        <v>45120</v>
      </c>
      <c r="B262" t="str">
        <f t="shared" si="45"/>
        <v>V0261</v>
      </c>
      <c r="C262" t="str">
        <f t="shared" ca="1" si="46"/>
        <v>Male</v>
      </c>
      <c r="D262">
        <f t="shared" ca="1" si="47"/>
        <v>85</v>
      </c>
      <c r="E262" t="str">
        <f t="shared" ca="1" si="48"/>
        <v>African American</v>
      </c>
      <c r="F262" t="str">
        <f t="shared" ca="1" si="49"/>
        <v>PM</v>
      </c>
      <c r="G262" t="str">
        <f t="shared" ca="1" si="50"/>
        <v>Weekday</v>
      </c>
      <c r="H262" t="str">
        <f t="shared" ca="1" si="51"/>
        <v>Non-Patient</v>
      </c>
      <c r="I262" t="str">
        <f t="shared" ca="1" si="52"/>
        <v>Physiotherapy</v>
      </c>
      <c r="J262">
        <f t="shared" ca="1" si="53"/>
        <v>2</v>
      </c>
      <c r="K262">
        <f t="shared" ca="1" si="54"/>
        <v>50</v>
      </c>
    </row>
    <row r="263" spans="1:11" x14ac:dyDescent="0.3">
      <c r="A263" s="1">
        <f t="shared" ca="1" si="44"/>
        <v>45192</v>
      </c>
      <c r="B263" t="str">
        <f t="shared" si="45"/>
        <v>V0262</v>
      </c>
      <c r="C263" t="str">
        <f t="shared" ca="1" si="46"/>
        <v>Female</v>
      </c>
      <c r="D263">
        <f t="shared" ca="1" si="47"/>
        <v>34</v>
      </c>
      <c r="E263" t="str">
        <f t="shared" ca="1" si="48"/>
        <v>African American</v>
      </c>
      <c r="F263" t="str">
        <f t="shared" ca="1" si="49"/>
        <v>PM</v>
      </c>
      <c r="G263" t="str">
        <f t="shared" ca="1" si="50"/>
        <v>Weekend</v>
      </c>
      <c r="H263" t="str">
        <f t="shared" ca="1" si="51"/>
        <v>Patient</v>
      </c>
      <c r="I263" t="str">
        <f t="shared" ca="1" si="52"/>
        <v>Orthopedics</v>
      </c>
      <c r="J263">
        <f t="shared" ca="1" si="53"/>
        <v>1</v>
      </c>
      <c r="K263">
        <f t="shared" ca="1" si="54"/>
        <v>44</v>
      </c>
    </row>
    <row r="264" spans="1:11" x14ac:dyDescent="0.3">
      <c r="A264" s="1">
        <f t="shared" ca="1" si="44"/>
        <v>45011</v>
      </c>
      <c r="B264" t="str">
        <f t="shared" si="45"/>
        <v>V0263</v>
      </c>
      <c r="C264" t="str">
        <f t="shared" ca="1" si="46"/>
        <v>Male</v>
      </c>
      <c r="D264">
        <f t="shared" ca="1" si="47"/>
        <v>73</v>
      </c>
      <c r="E264" t="str">
        <f t="shared" ca="1" si="48"/>
        <v>Asian</v>
      </c>
      <c r="F264" t="str">
        <f t="shared" ca="1" si="49"/>
        <v>PM</v>
      </c>
      <c r="G264" t="str">
        <f t="shared" ca="1" si="50"/>
        <v>Weekend</v>
      </c>
      <c r="H264" t="str">
        <f t="shared" ca="1" si="51"/>
        <v>Patient</v>
      </c>
      <c r="I264" t="str">
        <f t="shared" ca="1" si="52"/>
        <v>Physiotherapy</v>
      </c>
      <c r="J264">
        <f t="shared" ca="1" si="53"/>
        <v>6</v>
      </c>
      <c r="K264">
        <f t="shared" ca="1" si="54"/>
        <v>24</v>
      </c>
    </row>
    <row r="265" spans="1:11" x14ac:dyDescent="0.3">
      <c r="A265" s="1">
        <f t="shared" ca="1" si="44"/>
        <v>45211</v>
      </c>
      <c r="B265" t="str">
        <f t="shared" si="45"/>
        <v>V0264</v>
      </c>
      <c r="C265" t="str">
        <f t="shared" ca="1" si="46"/>
        <v>Male</v>
      </c>
      <c r="D265">
        <f t="shared" ca="1" si="47"/>
        <v>68</v>
      </c>
      <c r="E265" t="str">
        <f t="shared" ca="1" si="48"/>
        <v>Asian</v>
      </c>
      <c r="F265" t="str">
        <f t="shared" ca="1" si="49"/>
        <v>AM</v>
      </c>
      <c r="G265" t="str">
        <f t="shared" ca="1" si="50"/>
        <v>Weekday</v>
      </c>
      <c r="H265" t="str">
        <f t="shared" ca="1" si="51"/>
        <v>Non-Patient</v>
      </c>
      <c r="I265" t="str">
        <f t="shared" ca="1" si="52"/>
        <v>Cardiology</v>
      </c>
      <c r="J265">
        <f t="shared" ca="1" si="53"/>
        <v>3</v>
      </c>
      <c r="K265">
        <f t="shared" ca="1" si="54"/>
        <v>46</v>
      </c>
    </row>
    <row r="266" spans="1:11" x14ac:dyDescent="0.3">
      <c r="A266" s="1">
        <f t="shared" ca="1" si="44"/>
        <v>45013</v>
      </c>
      <c r="B266" t="str">
        <f t="shared" si="45"/>
        <v>V0265</v>
      </c>
      <c r="C266" t="str">
        <f t="shared" ca="1" si="46"/>
        <v>Male</v>
      </c>
      <c r="D266">
        <f t="shared" ca="1" si="47"/>
        <v>42</v>
      </c>
      <c r="E266" t="str">
        <f t="shared" ca="1" si="48"/>
        <v>Asian</v>
      </c>
      <c r="F266" t="str">
        <f t="shared" ca="1" si="49"/>
        <v>AM</v>
      </c>
      <c r="G266" t="str">
        <f t="shared" ca="1" si="50"/>
        <v>Weekday</v>
      </c>
      <c r="H266" t="str">
        <f t="shared" ca="1" si="51"/>
        <v>Patient</v>
      </c>
      <c r="I266" t="str">
        <f t="shared" ca="1" si="52"/>
        <v>Neurology</v>
      </c>
      <c r="J266">
        <f t="shared" ca="1" si="53"/>
        <v>4</v>
      </c>
      <c r="K266">
        <f t="shared" ca="1" si="54"/>
        <v>74</v>
      </c>
    </row>
    <row r="267" spans="1:11" x14ac:dyDescent="0.3">
      <c r="A267" s="1">
        <f t="shared" ca="1" si="44"/>
        <v>45172</v>
      </c>
      <c r="B267" t="str">
        <f t="shared" si="45"/>
        <v>V0266</v>
      </c>
      <c r="C267" t="str">
        <f t="shared" ca="1" si="46"/>
        <v>Female</v>
      </c>
      <c r="D267">
        <f t="shared" ca="1" si="47"/>
        <v>44</v>
      </c>
      <c r="E267" t="str">
        <f t="shared" ca="1" si="48"/>
        <v>White</v>
      </c>
      <c r="F267" t="str">
        <f t="shared" ca="1" si="49"/>
        <v>AM</v>
      </c>
      <c r="G267" t="str">
        <f t="shared" ca="1" si="50"/>
        <v>Weekend</v>
      </c>
      <c r="H267" t="str">
        <f t="shared" ca="1" si="51"/>
        <v>Non-Patient</v>
      </c>
      <c r="I267" t="str">
        <f t="shared" ca="1" si="52"/>
        <v>Orthopedics</v>
      </c>
      <c r="J267">
        <f t="shared" ca="1" si="53"/>
        <v>8</v>
      </c>
      <c r="K267">
        <f t="shared" ca="1" si="54"/>
        <v>21</v>
      </c>
    </row>
    <row r="268" spans="1:11" x14ac:dyDescent="0.3">
      <c r="A268" s="1">
        <f t="shared" ca="1" si="44"/>
        <v>45167</v>
      </c>
      <c r="B268" t="str">
        <f t="shared" si="45"/>
        <v>V0267</v>
      </c>
      <c r="C268" t="str">
        <f t="shared" ca="1" si="46"/>
        <v>Male</v>
      </c>
      <c r="D268">
        <f t="shared" ca="1" si="47"/>
        <v>29</v>
      </c>
      <c r="E268" t="str">
        <f t="shared" ca="1" si="48"/>
        <v>White</v>
      </c>
      <c r="F268" t="str">
        <f t="shared" ca="1" si="49"/>
        <v>PM</v>
      </c>
      <c r="G268" t="str">
        <f t="shared" ca="1" si="50"/>
        <v>Weekday</v>
      </c>
      <c r="H268" t="str">
        <f t="shared" ca="1" si="51"/>
        <v>Non-Patient</v>
      </c>
      <c r="I268" t="str">
        <f t="shared" ca="1" si="52"/>
        <v>General Practice</v>
      </c>
      <c r="J268">
        <f t="shared" ca="1" si="53"/>
        <v>5</v>
      </c>
      <c r="K268">
        <f t="shared" ca="1" si="54"/>
        <v>69</v>
      </c>
    </row>
    <row r="269" spans="1:11" x14ac:dyDescent="0.3">
      <c r="A269" s="1">
        <f t="shared" ca="1" si="44"/>
        <v>45073</v>
      </c>
      <c r="B269" t="str">
        <f t="shared" si="45"/>
        <v>V0268</v>
      </c>
      <c r="C269" t="str">
        <f t="shared" ca="1" si="46"/>
        <v>Male</v>
      </c>
      <c r="D269">
        <f t="shared" ca="1" si="47"/>
        <v>74</v>
      </c>
      <c r="E269" t="str">
        <f t="shared" ca="1" si="48"/>
        <v>Asian</v>
      </c>
      <c r="F269" t="str">
        <f t="shared" ca="1" si="49"/>
        <v>PM</v>
      </c>
      <c r="G269" t="str">
        <f t="shared" ca="1" si="50"/>
        <v>Weekend</v>
      </c>
      <c r="H269" t="str">
        <f t="shared" ca="1" si="51"/>
        <v>Patient</v>
      </c>
      <c r="I269" t="str">
        <f t="shared" ca="1" si="52"/>
        <v>Orthopedics</v>
      </c>
      <c r="J269">
        <f t="shared" ca="1" si="53"/>
        <v>1</v>
      </c>
      <c r="K269">
        <f t="shared" ca="1" si="54"/>
        <v>48</v>
      </c>
    </row>
    <row r="270" spans="1:11" x14ac:dyDescent="0.3">
      <c r="A270" s="1">
        <f t="shared" ca="1" si="44"/>
        <v>45212</v>
      </c>
      <c r="B270" t="str">
        <f t="shared" si="45"/>
        <v>V0269</v>
      </c>
      <c r="C270" t="str">
        <f t="shared" ca="1" si="46"/>
        <v>Female</v>
      </c>
      <c r="D270">
        <f t="shared" ca="1" si="47"/>
        <v>63</v>
      </c>
      <c r="E270" t="str">
        <f t="shared" ca="1" si="48"/>
        <v>White</v>
      </c>
      <c r="F270" t="str">
        <f t="shared" ca="1" si="49"/>
        <v>PM</v>
      </c>
      <c r="G270" t="str">
        <f t="shared" ca="1" si="50"/>
        <v>Weekday</v>
      </c>
      <c r="H270" t="str">
        <f t="shared" ca="1" si="51"/>
        <v>Patient</v>
      </c>
      <c r="I270" t="str">
        <f t="shared" ca="1" si="52"/>
        <v>Physiotherapy</v>
      </c>
      <c r="J270">
        <f t="shared" ca="1" si="53"/>
        <v>10</v>
      </c>
      <c r="K270">
        <f t="shared" ca="1" si="54"/>
        <v>66</v>
      </c>
    </row>
    <row r="271" spans="1:11" x14ac:dyDescent="0.3">
      <c r="A271" s="1">
        <f t="shared" ca="1" si="44"/>
        <v>45229</v>
      </c>
      <c r="B271" t="str">
        <f t="shared" si="45"/>
        <v>V0270</v>
      </c>
      <c r="C271" t="str">
        <f t="shared" ca="1" si="46"/>
        <v>Male</v>
      </c>
      <c r="D271">
        <f t="shared" ca="1" si="47"/>
        <v>6</v>
      </c>
      <c r="E271" t="str">
        <f t="shared" ca="1" si="48"/>
        <v>Pacific Islander</v>
      </c>
      <c r="F271" t="str">
        <f t="shared" ca="1" si="49"/>
        <v>PM</v>
      </c>
      <c r="G271" t="str">
        <f t="shared" ca="1" si="50"/>
        <v>Weekday</v>
      </c>
      <c r="H271" t="str">
        <f t="shared" ca="1" si="51"/>
        <v>Non-Patient</v>
      </c>
      <c r="I271" t="str">
        <f t="shared" ca="1" si="52"/>
        <v>Neurology</v>
      </c>
      <c r="J271">
        <f t="shared" ca="1" si="53"/>
        <v>9</v>
      </c>
      <c r="K271">
        <f t="shared" ca="1" si="54"/>
        <v>34</v>
      </c>
    </row>
    <row r="272" spans="1:11" x14ac:dyDescent="0.3">
      <c r="A272" s="1">
        <f t="shared" ca="1" si="44"/>
        <v>44948</v>
      </c>
      <c r="B272" t="str">
        <f t="shared" si="45"/>
        <v>V0271</v>
      </c>
      <c r="C272" t="str">
        <f t="shared" ca="1" si="46"/>
        <v>Female</v>
      </c>
      <c r="D272">
        <f t="shared" ca="1" si="47"/>
        <v>64</v>
      </c>
      <c r="E272" t="str">
        <f t="shared" ca="1" si="48"/>
        <v>Asian</v>
      </c>
      <c r="F272" t="str">
        <f t="shared" ca="1" si="49"/>
        <v>AM</v>
      </c>
      <c r="G272" t="str">
        <f t="shared" ca="1" si="50"/>
        <v>Weekend</v>
      </c>
      <c r="H272" t="str">
        <f t="shared" ca="1" si="51"/>
        <v>Patient</v>
      </c>
      <c r="I272" t="str">
        <f t="shared" ca="1" si="52"/>
        <v>General Practice</v>
      </c>
      <c r="J272">
        <f t="shared" ca="1" si="53"/>
        <v>5</v>
      </c>
      <c r="K272">
        <f t="shared" ca="1" si="54"/>
        <v>12</v>
      </c>
    </row>
    <row r="273" spans="1:11" x14ac:dyDescent="0.3">
      <c r="A273" s="1">
        <f t="shared" ca="1" si="44"/>
        <v>45132</v>
      </c>
      <c r="B273" t="str">
        <f t="shared" si="45"/>
        <v>V0272</v>
      </c>
      <c r="C273" t="str">
        <f t="shared" ca="1" si="46"/>
        <v>Male</v>
      </c>
      <c r="D273">
        <f t="shared" ca="1" si="47"/>
        <v>13</v>
      </c>
      <c r="E273" t="str">
        <f t="shared" ca="1" si="48"/>
        <v>White</v>
      </c>
      <c r="F273" t="str">
        <f t="shared" ca="1" si="49"/>
        <v>PM</v>
      </c>
      <c r="G273" t="str">
        <f t="shared" ca="1" si="50"/>
        <v>Weekday</v>
      </c>
      <c r="H273" t="str">
        <f t="shared" ca="1" si="51"/>
        <v>Non-Patient</v>
      </c>
      <c r="I273" t="str">
        <f t="shared" ca="1" si="52"/>
        <v>Cardiology</v>
      </c>
      <c r="J273">
        <f t="shared" ca="1" si="53"/>
        <v>10</v>
      </c>
      <c r="K273">
        <f t="shared" ca="1" si="54"/>
        <v>29</v>
      </c>
    </row>
    <row r="274" spans="1:11" x14ac:dyDescent="0.3">
      <c r="A274" s="1">
        <f t="shared" ca="1" si="44"/>
        <v>45084</v>
      </c>
      <c r="B274" t="str">
        <f t="shared" si="45"/>
        <v>V0273</v>
      </c>
      <c r="C274" t="str">
        <f t="shared" ca="1" si="46"/>
        <v>Male</v>
      </c>
      <c r="D274">
        <f t="shared" ca="1" si="47"/>
        <v>68</v>
      </c>
      <c r="E274" t="str">
        <f t="shared" ca="1" si="48"/>
        <v>Native American</v>
      </c>
      <c r="F274" t="str">
        <f t="shared" ca="1" si="49"/>
        <v>PM</v>
      </c>
      <c r="G274" t="str">
        <f t="shared" ca="1" si="50"/>
        <v>Weekday</v>
      </c>
      <c r="H274" t="str">
        <f t="shared" ca="1" si="51"/>
        <v>Patient</v>
      </c>
      <c r="I274" t="str">
        <f t="shared" ca="1" si="52"/>
        <v>Physiotherapy</v>
      </c>
      <c r="J274">
        <f t="shared" ca="1" si="53"/>
        <v>10</v>
      </c>
      <c r="K274">
        <f t="shared" ca="1" si="54"/>
        <v>24</v>
      </c>
    </row>
    <row r="275" spans="1:11" x14ac:dyDescent="0.3">
      <c r="A275" s="1">
        <f t="shared" ca="1" si="44"/>
        <v>44995</v>
      </c>
      <c r="B275" t="str">
        <f t="shared" si="45"/>
        <v>V0274</v>
      </c>
      <c r="C275" t="str">
        <f t="shared" ca="1" si="46"/>
        <v>Female</v>
      </c>
      <c r="D275">
        <f t="shared" ca="1" si="47"/>
        <v>74</v>
      </c>
      <c r="E275" t="str">
        <f t="shared" ca="1" si="48"/>
        <v>Pacific Islander</v>
      </c>
      <c r="F275" t="str">
        <f t="shared" ca="1" si="49"/>
        <v>AM</v>
      </c>
      <c r="G275" t="str">
        <f t="shared" ca="1" si="50"/>
        <v>Weekday</v>
      </c>
      <c r="H275" t="str">
        <f t="shared" ca="1" si="51"/>
        <v>Non-Patient</v>
      </c>
      <c r="I275" t="str">
        <f t="shared" ca="1" si="52"/>
        <v>Neurology</v>
      </c>
      <c r="J275">
        <f t="shared" ca="1" si="53"/>
        <v>2</v>
      </c>
      <c r="K275">
        <f t="shared" ca="1" si="54"/>
        <v>63</v>
      </c>
    </row>
    <row r="276" spans="1:11" x14ac:dyDescent="0.3">
      <c r="A276" s="1">
        <f t="shared" ca="1" si="44"/>
        <v>45163</v>
      </c>
      <c r="B276" t="str">
        <f t="shared" si="45"/>
        <v>V0275</v>
      </c>
      <c r="C276" t="str">
        <f t="shared" ca="1" si="46"/>
        <v>Male</v>
      </c>
      <c r="D276">
        <f t="shared" ca="1" si="47"/>
        <v>28</v>
      </c>
      <c r="E276" t="str">
        <f t="shared" ca="1" si="48"/>
        <v>Native American</v>
      </c>
      <c r="F276" t="str">
        <f t="shared" ca="1" si="49"/>
        <v>PM</v>
      </c>
      <c r="G276" t="str">
        <f t="shared" ca="1" si="50"/>
        <v>Weekday</v>
      </c>
      <c r="H276" t="str">
        <f t="shared" ca="1" si="51"/>
        <v>Non-Patient</v>
      </c>
      <c r="I276" t="str">
        <f t="shared" ca="1" si="52"/>
        <v>Orthopedics</v>
      </c>
      <c r="J276">
        <f t="shared" ca="1" si="53"/>
        <v>4</v>
      </c>
      <c r="K276">
        <f t="shared" ca="1" si="54"/>
        <v>42</v>
      </c>
    </row>
    <row r="277" spans="1:11" x14ac:dyDescent="0.3">
      <c r="A277" s="1">
        <f t="shared" ca="1" si="44"/>
        <v>45209</v>
      </c>
      <c r="B277" t="str">
        <f t="shared" si="45"/>
        <v>V0276</v>
      </c>
      <c r="C277" t="str">
        <f t="shared" ca="1" si="46"/>
        <v>Male</v>
      </c>
      <c r="D277">
        <f t="shared" ca="1" si="47"/>
        <v>28</v>
      </c>
      <c r="E277" t="str">
        <f t="shared" ca="1" si="48"/>
        <v>African American</v>
      </c>
      <c r="F277" t="str">
        <f t="shared" ca="1" si="49"/>
        <v>PM</v>
      </c>
      <c r="G277" t="str">
        <f t="shared" ca="1" si="50"/>
        <v>Weekday</v>
      </c>
      <c r="H277" t="str">
        <f t="shared" ca="1" si="51"/>
        <v>Non-Patient</v>
      </c>
      <c r="I277" t="str">
        <f t="shared" ca="1" si="52"/>
        <v>Neurology</v>
      </c>
      <c r="J277">
        <f t="shared" ca="1" si="53"/>
        <v>4</v>
      </c>
      <c r="K277">
        <f t="shared" ca="1" si="54"/>
        <v>68</v>
      </c>
    </row>
    <row r="278" spans="1:11" x14ac:dyDescent="0.3">
      <c r="A278" s="1">
        <f t="shared" ca="1" si="44"/>
        <v>45039</v>
      </c>
      <c r="B278" t="str">
        <f t="shared" si="45"/>
        <v>V0277</v>
      </c>
      <c r="C278" t="str">
        <f t="shared" ca="1" si="46"/>
        <v>Male</v>
      </c>
      <c r="D278">
        <f t="shared" ca="1" si="47"/>
        <v>75</v>
      </c>
      <c r="E278" t="str">
        <f t="shared" ca="1" si="48"/>
        <v>Pacific Islander</v>
      </c>
      <c r="F278" t="str">
        <f t="shared" ca="1" si="49"/>
        <v>AM</v>
      </c>
      <c r="G278" t="str">
        <f t="shared" ca="1" si="50"/>
        <v>Weekend</v>
      </c>
      <c r="H278" t="str">
        <f t="shared" ca="1" si="51"/>
        <v>Patient</v>
      </c>
      <c r="I278" t="str">
        <f t="shared" ca="1" si="52"/>
        <v>General Practice</v>
      </c>
      <c r="J278">
        <f t="shared" ca="1" si="53"/>
        <v>4</v>
      </c>
      <c r="K278">
        <f t="shared" ca="1" si="54"/>
        <v>15</v>
      </c>
    </row>
    <row r="279" spans="1:11" x14ac:dyDescent="0.3">
      <c r="A279" s="1">
        <f t="shared" ca="1" si="44"/>
        <v>45242</v>
      </c>
      <c r="B279" t="str">
        <f t="shared" si="45"/>
        <v>V0278</v>
      </c>
      <c r="C279" t="str">
        <f t="shared" ca="1" si="46"/>
        <v>Male</v>
      </c>
      <c r="D279">
        <f t="shared" ca="1" si="47"/>
        <v>6</v>
      </c>
      <c r="E279" t="str">
        <f t="shared" ca="1" si="48"/>
        <v>Pacific Islander</v>
      </c>
      <c r="F279" t="str">
        <f t="shared" ca="1" si="49"/>
        <v>PM</v>
      </c>
      <c r="G279" t="str">
        <f t="shared" ca="1" si="50"/>
        <v>Weekend</v>
      </c>
      <c r="H279" t="str">
        <f t="shared" ca="1" si="51"/>
        <v>Non-Patient</v>
      </c>
      <c r="I279" t="str">
        <f t="shared" ca="1" si="52"/>
        <v>Physiotherapy</v>
      </c>
      <c r="J279">
        <f t="shared" ca="1" si="53"/>
        <v>1</v>
      </c>
      <c r="K279">
        <f t="shared" ca="1" si="54"/>
        <v>71</v>
      </c>
    </row>
    <row r="280" spans="1:11" x14ac:dyDescent="0.3">
      <c r="A280" s="1">
        <f t="shared" ca="1" si="44"/>
        <v>45114</v>
      </c>
      <c r="B280" t="str">
        <f t="shared" si="45"/>
        <v>V0279</v>
      </c>
      <c r="C280" t="str">
        <f t="shared" ca="1" si="46"/>
        <v>Male</v>
      </c>
      <c r="D280">
        <f t="shared" ca="1" si="47"/>
        <v>1</v>
      </c>
      <c r="E280" t="str">
        <f t="shared" ca="1" si="48"/>
        <v>African American</v>
      </c>
      <c r="F280" t="str">
        <f t="shared" ca="1" si="49"/>
        <v>PM</v>
      </c>
      <c r="G280" t="str">
        <f t="shared" ca="1" si="50"/>
        <v>Weekday</v>
      </c>
      <c r="H280" t="str">
        <f t="shared" ca="1" si="51"/>
        <v>Non-Patient</v>
      </c>
      <c r="I280" t="str">
        <f t="shared" ca="1" si="52"/>
        <v>Physiotherapy</v>
      </c>
      <c r="J280">
        <f t="shared" ca="1" si="53"/>
        <v>10</v>
      </c>
      <c r="K280">
        <f t="shared" ca="1" si="54"/>
        <v>80</v>
      </c>
    </row>
    <row r="281" spans="1:11" x14ac:dyDescent="0.3">
      <c r="A281" s="1">
        <f t="shared" ca="1" si="44"/>
        <v>44938</v>
      </c>
      <c r="B281" t="str">
        <f t="shared" si="45"/>
        <v>V0280</v>
      </c>
      <c r="C281" t="str">
        <f t="shared" ca="1" si="46"/>
        <v>Female</v>
      </c>
      <c r="D281">
        <f t="shared" ca="1" si="47"/>
        <v>61</v>
      </c>
      <c r="E281" t="str">
        <f t="shared" ca="1" si="48"/>
        <v>Asian</v>
      </c>
      <c r="F281" t="str">
        <f t="shared" ca="1" si="49"/>
        <v>PM</v>
      </c>
      <c r="G281" t="str">
        <f t="shared" ca="1" si="50"/>
        <v>Weekday</v>
      </c>
      <c r="H281" t="str">
        <f t="shared" ca="1" si="51"/>
        <v>Non-Patient</v>
      </c>
      <c r="I281" t="str">
        <f t="shared" ca="1" si="52"/>
        <v>Orthopedics</v>
      </c>
      <c r="J281">
        <f t="shared" ca="1" si="53"/>
        <v>9</v>
      </c>
      <c r="K281">
        <f t="shared" ca="1" si="54"/>
        <v>34</v>
      </c>
    </row>
    <row r="282" spans="1:11" x14ac:dyDescent="0.3">
      <c r="A282" s="1">
        <f t="shared" ca="1" si="44"/>
        <v>44982</v>
      </c>
      <c r="B282" t="str">
        <f t="shared" si="45"/>
        <v>V0281</v>
      </c>
      <c r="C282" t="str">
        <f t="shared" ca="1" si="46"/>
        <v>Female</v>
      </c>
      <c r="D282">
        <f t="shared" ca="1" si="47"/>
        <v>59</v>
      </c>
      <c r="E282" t="str">
        <f t="shared" ca="1" si="48"/>
        <v>African American</v>
      </c>
      <c r="F282" t="str">
        <f t="shared" ca="1" si="49"/>
        <v>AM</v>
      </c>
      <c r="G282" t="str">
        <f t="shared" ca="1" si="50"/>
        <v>Weekend</v>
      </c>
      <c r="H282" t="str">
        <f t="shared" ca="1" si="51"/>
        <v>Patient</v>
      </c>
      <c r="I282" t="str">
        <f t="shared" ca="1" si="52"/>
        <v>Orthopedics</v>
      </c>
      <c r="J282">
        <f t="shared" ca="1" si="53"/>
        <v>6</v>
      </c>
      <c r="K282">
        <f t="shared" ca="1" si="54"/>
        <v>22</v>
      </c>
    </row>
    <row r="283" spans="1:11" x14ac:dyDescent="0.3">
      <c r="A283" s="1">
        <f t="shared" ca="1" si="44"/>
        <v>45078</v>
      </c>
      <c r="B283" t="str">
        <f t="shared" si="45"/>
        <v>V0282</v>
      </c>
      <c r="C283" t="str">
        <f t="shared" ca="1" si="46"/>
        <v>Female</v>
      </c>
      <c r="D283">
        <f t="shared" ca="1" si="47"/>
        <v>39</v>
      </c>
      <c r="E283" t="str">
        <f t="shared" ca="1" si="48"/>
        <v>Native American</v>
      </c>
      <c r="F283" t="str">
        <f t="shared" ca="1" si="49"/>
        <v>AM</v>
      </c>
      <c r="G283" t="str">
        <f t="shared" ca="1" si="50"/>
        <v>Weekday</v>
      </c>
      <c r="H283" t="str">
        <f t="shared" ca="1" si="51"/>
        <v>Patient</v>
      </c>
      <c r="I283" t="str">
        <f t="shared" ca="1" si="52"/>
        <v>General Practice</v>
      </c>
      <c r="J283">
        <f t="shared" ca="1" si="53"/>
        <v>9</v>
      </c>
      <c r="K283">
        <f t="shared" ca="1" si="54"/>
        <v>82</v>
      </c>
    </row>
    <row r="284" spans="1:11" x14ac:dyDescent="0.3">
      <c r="A284" s="1">
        <f t="shared" ca="1" si="44"/>
        <v>45129</v>
      </c>
      <c r="B284" t="str">
        <f t="shared" si="45"/>
        <v>V0283</v>
      </c>
      <c r="C284" t="str">
        <f t="shared" ca="1" si="46"/>
        <v>Female</v>
      </c>
      <c r="D284">
        <f t="shared" ca="1" si="47"/>
        <v>50</v>
      </c>
      <c r="E284" t="str">
        <f t="shared" ca="1" si="48"/>
        <v>African American</v>
      </c>
      <c r="F284" t="str">
        <f t="shared" ca="1" si="49"/>
        <v>AM</v>
      </c>
      <c r="G284" t="str">
        <f t="shared" ca="1" si="50"/>
        <v>Weekend</v>
      </c>
      <c r="H284" t="str">
        <f t="shared" ca="1" si="51"/>
        <v>Patient</v>
      </c>
      <c r="I284" t="str">
        <f t="shared" ca="1" si="52"/>
        <v>General Practice</v>
      </c>
      <c r="J284">
        <f t="shared" ca="1" si="53"/>
        <v>10</v>
      </c>
      <c r="K284">
        <f t="shared" ca="1" si="54"/>
        <v>21</v>
      </c>
    </row>
    <row r="285" spans="1:11" x14ac:dyDescent="0.3">
      <c r="A285" s="1">
        <f t="shared" ca="1" si="44"/>
        <v>44931</v>
      </c>
      <c r="B285" t="str">
        <f t="shared" si="45"/>
        <v>V0284</v>
      </c>
      <c r="C285" t="str">
        <f t="shared" ca="1" si="46"/>
        <v>Male</v>
      </c>
      <c r="D285">
        <f t="shared" ca="1" si="47"/>
        <v>18</v>
      </c>
      <c r="E285" t="str">
        <f t="shared" ca="1" si="48"/>
        <v>Asian</v>
      </c>
      <c r="F285" t="str">
        <f t="shared" ca="1" si="49"/>
        <v>AM</v>
      </c>
      <c r="G285" t="str">
        <f t="shared" ca="1" si="50"/>
        <v>Weekday</v>
      </c>
      <c r="H285" t="str">
        <f t="shared" ca="1" si="51"/>
        <v>Non-Patient</v>
      </c>
      <c r="I285" t="str">
        <f t="shared" ca="1" si="52"/>
        <v>General Practice</v>
      </c>
      <c r="J285">
        <f t="shared" ca="1" si="53"/>
        <v>3</v>
      </c>
      <c r="K285">
        <f t="shared" ca="1" si="54"/>
        <v>10</v>
      </c>
    </row>
    <row r="286" spans="1:11" x14ac:dyDescent="0.3">
      <c r="A286" s="1">
        <f t="shared" ca="1" si="44"/>
        <v>45231</v>
      </c>
      <c r="B286" t="str">
        <f t="shared" si="45"/>
        <v>V0285</v>
      </c>
      <c r="C286" t="str">
        <f t="shared" ca="1" si="46"/>
        <v>Male</v>
      </c>
      <c r="D286">
        <f t="shared" ca="1" si="47"/>
        <v>25</v>
      </c>
      <c r="E286" t="str">
        <f t="shared" ca="1" si="48"/>
        <v>Native American</v>
      </c>
      <c r="F286" t="str">
        <f t="shared" ca="1" si="49"/>
        <v>PM</v>
      </c>
      <c r="G286" t="str">
        <f t="shared" ca="1" si="50"/>
        <v>Weekday</v>
      </c>
      <c r="H286" t="str">
        <f t="shared" ca="1" si="51"/>
        <v>Patient</v>
      </c>
      <c r="I286" t="str">
        <f t="shared" ca="1" si="52"/>
        <v>Neurology</v>
      </c>
      <c r="J286">
        <f t="shared" ca="1" si="53"/>
        <v>6</v>
      </c>
      <c r="K286">
        <f t="shared" ca="1" si="54"/>
        <v>69</v>
      </c>
    </row>
    <row r="287" spans="1:11" x14ac:dyDescent="0.3">
      <c r="A287" s="1">
        <f t="shared" ca="1" si="44"/>
        <v>44964</v>
      </c>
      <c r="B287" t="str">
        <f t="shared" si="45"/>
        <v>V0286</v>
      </c>
      <c r="C287" t="str">
        <f t="shared" ca="1" si="46"/>
        <v>Female</v>
      </c>
      <c r="D287">
        <f t="shared" ca="1" si="47"/>
        <v>6</v>
      </c>
      <c r="E287" t="str">
        <f t="shared" ca="1" si="48"/>
        <v>Native American</v>
      </c>
      <c r="F287" t="str">
        <f t="shared" ca="1" si="49"/>
        <v>AM</v>
      </c>
      <c r="G287" t="str">
        <f t="shared" ca="1" si="50"/>
        <v>Weekday</v>
      </c>
      <c r="H287" t="str">
        <f t="shared" ca="1" si="51"/>
        <v>Non-Patient</v>
      </c>
      <c r="I287" t="str">
        <f t="shared" ca="1" si="52"/>
        <v>General Practice</v>
      </c>
      <c r="J287">
        <f t="shared" ca="1" si="53"/>
        <v>5</v>
      </c>
      <c r="K287">
        <f t="shared" ca="1" si="54"/>
        <v>34</v>
      </c>
    </row>
    <row r="288" spans="1:11" x14ac:dyDescent="0.3">
      <c r="A288" s="1">
        <f t="shared" ca="1" si="44"/>
        <v>45111</v>
      </c>
      <c r="B288" t="str">
        <f t="shared" si="45"/>
        <v>V0287</v>
      </c>
      <c r="C288" t="str">
        <f t="shared" ca="1" si="46"/>
        <v>Female</v>
      </c>
      <c r="D288">
        <f t="shared" ca="1" si="47"/>
        <v>77</v>
      </c>
      <c r="E288" t="str">
        <f t="shared" ca="1" si="48"/>
        <v>Asian</v>
      </c>
      <c r="F288" t="str">
        <f t="shared" ca="1" si="49"/>
        <v>PM</v>
      </c>
      <c r="G288" t="str">
        <f t="shared" ca="1" si="50"/>
        <v>Weekday</v>
      </c>
      <c r="H288" t="str">
        <f t="shared" ca="1" si="51"/>
        <v>Non-Patient</v>
      </c>
      <c r="I288" t="str">
        <f t="shared" ca="1" si="52"/>
        <v>Neurology</v>
      </c>
      <c r="J288">
        <f t="shared" ca="1" si="53"/>
        <v>6</v>
      </c>
      <c r="K288">
        <f t="shared" ca="1" si="54"/>
        <v>24</v>
      </c>
    </row>
    <row r="289" spans="1:11" x14ac:dyDescent="0.3">
      <c r="A289" s="1">
        <f t="shared" ca="1" si="44"/>
        <v>45134</v>
      </c>
      <c r="B289" t="str">
        <f t="shared" si="45"/>
        <v>V0288</v>
      </c>
      <c r="C289" t="str">
        <f t="shared" ca="1" si="46"/>
        <v>Female</v>
      </c>
      <c r="D289">
        <f t="shared" ca="1" si="47"/>
        <v>44</v>
      </c>
      <c r="E289" t="str">
        <f t="shared" ca="1" si="48"/>
        <v>Asian</v>
      </c>
      <c r="F289" t="str">
        <f t="shared" ca="1" si="49"/>
        <v>AM</v>
      </c>
      <c r="G289" t="str">
        <f t="shared" ca="1" si="50"/>
        <v>Weekday</v>
      </c>
      <c r="H289" t="str">
        <f t="shared" ca="1" si="51"/>
        <v>Non-Patient</v>
      </c>
      <c r="I289" t="str">
        <f t="shared" ca="1" si="52"/>
        <v>Cardiology</v>
      </c>
      <c r="J289">
        <f t="shared" ca="1" si="53"/>
        <v>4</v>
      </c>
      <c r="K289">
        <f t="shared" ca="1" si="54"/>
        <v>23</v>
      </c>
    </row>
    <row r="290" spans="1:11" x14ac:dyDescent="0.3">
      <c r="A290" s="1">
        <f t="shared" ca="1" si="44"/>
        <v>45185</v>
      </c>
      <c r="B290" t="str">
        <f t="shared" si="45"/>
        <v>V0289</v>
      </c>
      <c r="C290" t="str">
        <f t="shared" ca="1" si="46"/>
        <v>Male</v>
      </c>
      <c r="D290">
        <f t="shared" ca="1" si="47"/>
        <v>76</v>
      </c>
      <c r="E290" t="str">
        <f t="shared" ca="1" si="48"/>
        <v>Native American</v>
      </c>
      <c r="F290" t="str">
        <f t="shared" ca="1" si="49"/>
        <v>PM</v>
      </c>
      <c r="G290" t="str">
        <f t="shared" ca="1" si="50"/>
        <v>Weekend</v>
      </c>
      <c r="H290" t="str">
        <f t="shared" ca="1" si="51"/>
        <v>Patient</v>
      </c>
      <c r="I290" t="str">
        <f t="shared" ca="1" si="52"/>
        <v>Cardiology</v>
      </c>
      <c r="J290">
        <f t="shared" ca="1" si="53"/>
        <v>1</v>
      </c>
      <c r="K290">
        <f t="shared" ca="1" si="54"/>
        <v>54</v>
      </c>
    </row>
    <row r="291" spans="1:11" x14ac:dyDescent="0.3">
      <c r="A291" s="1">
        <f t="shared" ca="1" si="44"/>
        <v>45289</v>
      </c>
      <c r="B291" t="str">
        <f t="shared" si="45"/>
        <v>V0290</v>
      </c>
      <c r="C291" t="str">
        <f t="shared" ca="1" si="46"/>
        <v>Male</v>
      </c>
      <c r="D291">
        <f t="shared" ca="1" si="47"/>
        <v>73</v>
      </c>
      <c r="E291" t="str">
        <f t="shared" ca="1" si="48"/>
        <v>Pacific Islander</v>
      </c>
      <c r="F291" t="str">
        <f t="shared" ca="1" si="49"/>
        <v>PM</v>
      </c>
      <c r="G291" t="str">
        <f t="shared" ca="1" si="50"/>
        <v>Weekday</v>
      </c>
      <c r="H291" t="str">
        <f t="shared" ca="1" si="51"/>
        <v>Non-Patient</v>
      </c>
      <c r="I291" t="str">
        <f t="shared" ca="1" si="52"/>
        <v>Cardiology</v>
      </c>
      <c r="J291">
        <f t="shared" ca="1" si="53"/>
        <v>8</v>
      </c>
      <c r="K291">
        <f t="shared" ca="1" si="54"/>
        <v>39</v>
      </c>
    </row>
    <row r="292" spans="1:11" x14ac:dyDescent="0.3">
      <c r="A292" s="1">
        <f t="shared" ca="1" si="44"/>
        <v>45176</v>
      </c>
      <c r="B292" t="str">
        <f t="shared" si="45"/>
        <v>V0291</v>
      </c>
      <c r="C292" t="str">
        <f t="shared" ca="1" si="46"/>
        <v>Female</v>
      </c>
      <c r="D292">
        <f t="shared" ca="1" si="47"/>
        <v>75</v>
      </c>
      <c r="E292" t="str">
        <f t="shared" ca="1" si="48"/>
        <v>Native American</v>
      </c>
      <c r="F292" t="str">
        <f t="shared" ca="1" si="49"/>
        <v>AM</v>
      </c>
      <c r="G292" t="str">
        <f t="shared" ca="1" si="50"/>
        <v>Weekday</v>
      </c>
      <c r="H292" t="str">
        <f t="shared" ca="1" si="51"/>
        <v>Non-Patient</v>
      </c>
      <c r="I292" t="str">
        <f t="shared" ca="1" si="52"/>
        <v>Neurology</v>
      </c>
      <c r="J292">
        <f t="shared" ca="1" si="53"/>
        <v>1</v>
      </c>
      <c r="K292">
        <f t="shared" ca="1" si="54"/>
        <v>61</v>
      </c>
    </row>
    <row r="293" spans="1:11" x14ac:dyDescent="0.3">
      <c r="A293" s="1">
        <f t="shared" ca="1" si="44"/>
        <v>45064</v>
      </c>
      <c r="B293" t="str">
        <f t="shared" si="45"/>
        <v>V0292</v>
      </c>
      <c r="C293" t="str">
        <f t="shared" ca="1" si="46"/>
        <v>Male</v>
      </c>
      <c r="D293">
        <f t="shared" ca="1" si="47"/>
        <v>76</v>
      </c>
      <c r="E293" t="str">
        <f t="shared" ca="1" si="48"/>
        <v>White</v>
      </c>
      <c r="F293" t="str">
        <f t="shared" ca="1" si="49"/>
        <v>AM</v>
      </c>
      <c r="G293" t="str">
        <f t="shared" ca="1" si="50"/>
        <v>Weekday</v>
      </c>
      <c r="H293" t="str">
        <f t="shared" ca="1" si="51"/>
        <v>Non-Patient</v>
      </c>
      <c r="I293" t="str">
        <f t="shared" ca="1" si="52"/>
        <v>Physiotherapy</v>
      </c>
      <c r="J293">
        <f t="shared" ca="1" si="53"/>
        <v>9</v>
      </c>
      <c r="K293">
        <f t="shared" ca="1" si="54"/>
        <v>31</v>
      </c>
    </row>
    <row r="294" spans="1:11" x14ac:dyDescent="0.3">
      <c r="A294" s="1">
        <f t="shared" ca="1" si="44"/>
        <v>45096</v>
      </c>
      <c r="B294" t="str">
        <f t="shared" si="45"/>
        <v>V0293</v>
      </c>
      <c r="C294" t="str">
        <f t="shared" ca="1" si="46"/>
        <v>Male</v>
      </c>
      <c r="D294">
        <f t="shared" ca="1" si="47"/>
        <v>76</v>
      </c>
      <c r="E294" t="str">
        <f t="shared" ca="1" si="48"/>
        <v>Pacific Islander</v>
      </c>
      <c r="F294" t="str">
        <f t="shared" ca="1" si="49"/>
        <v>PM</v>
      </c>
      <c r="G294" t="str">
        <f t="shared" ca="1" si="50"/>
        <v>Weekday</v>
      </c>
      <c r="H294" t="str">
        <f t="shared" ca="1" si="51"/>
        <v>Non-Patient</v>
      </c>
      <c r="I294" t="str">
        <f t="shared" ca="1" si="52"/>
        <v>General Practice</v>
      </c>
      <c r="J294">
        <f t="shared" ca="1" si="53"/>
        <v>7</v>
      </c>
      <c r="K294">
        <f t="shared" ca="1" si="54"/>
        <v>36</v>
      </c>
    </row>
    <row r="295" spans="1:11" x14ac:dyDescent="0.3">
      <c r="A295" s="1">
        <f t="shared" ca="1" si="44"/>
        <v>45210</v>
      </c>
      <c r="B295" t="str">
        <f t="shared" si="45"/>
        <v>V0294</v>
      </c>
      <c r="C295" t="str">
        <f t="shared" ca="1" si="46"/>
        <v>Female</v>
      </c>
      <c r="D295">
        <f t="shared" ca="1" si="47"/>
        <v>39</v>
      </c>
      <c r="E295" t="str">
        <f t="shared" ca="1" si="48"/>
        <v>Asian</v>
      </c>
      <c r="F295" t="str">
        <f t="shared" ca="1" si="49"/>
        <v>AM</v>
      </c>
      <c r="G295" t="str">
        <f t="shared" ca="1" si="50"/>
        <v>Weekday</v>
      </c>
      <c r="H295" t="str">
        <f t="shared" ca="1" si="51"/>
        <v>Non-Patient</v>
      </c>
      <c r="I295" t="str">
        <f t="shared" ca="1" si="52"/>
        <v>Cardiology</v>
      </c>
      <c r="J295">
        <f t="shared" ca="1" si="53"/>
        <v>8</v>
      </c>
      <c r="K295">
        <f t="shared" ca="1" si="54"/>
        <v>63</v>
      </c>
    </row>
    <row r="296" spans="1:11" x14ac:dyDescent="0.3">
      <c r="A296" s="1">
        <f t="shared" ca="1" si="44"/>
        <v>45223</v>
      </c>
      <c r="B296" t="str">
        <f t="shared" si="45"/>
        <v>V0295</v>
      </c>
      <c r="C296" t="str">
        <f t="shared" ca="1" si="46"/>
        <v>Male</v>
      </c>
      <c r="D296">
        <f t="shared" ca="1" si="47"/>
        <v>49</v>
      </c>
      <c r="E296" t="str">
        <f t="shared" ca="1" si="48"/>
        <v>Asian</v>
      </c>
      <c r="F296" t="str">
        <f t="shared" ca="1" si="49"/>
        <v>PM</v>
      </c>
      <c r="G296" t="str">
        <f t="shared" ca="1" si="50"/>
        <v>Weekday</v>
      </c>
      <c r="H296" t="str">
        <f t="shared" ca="1" si="51"/>
        <v>Non-Patient</v>
      </c>
      <c r="I296" t="str">
        <f t="shared" ca="1" si="52"/>
        <v>Neurology</v>
      </c>
      <c r="J296">
        <f t="shared" ca="1" si="53"/>
        <v>1</v>
      </c>
      <c r="K296">
        <f t="shared" ca="1" si="54"/>
        <v>81</v>
      </c>
    </row>
    <row r="297" spans="1:11" x14ac:dyDescent="0.3">
      <c r="A297" s="1">
        <f t="shared" ca="1" si="44"/>
        <v>45113</v>
      </c>
      <c r="B297" t="str">
        <f t="shared" si="45"/>
        <v>V0296</v>
      </c>
      <c r="C297" t="str">
        <f t="shared" ca="1" si="46"/>
        <v>Male</v>
      </c>
      <c r="D297">
        <f t="shared" ca="1" si="47"/>
        <v>35</v>
      </c>
      <c r="E297" t="str">
        <f t="shared" ca="1" si="48"/>
        <v>African American</v>
      </c>
      <c r="F297" t="str">
        <f t="shared" ca="1" si="49"/>
        <v>PM</v>
      </c>
      <c r="G297" t="str">
        <f t="shared" ca="1" si="50"/>
        <v>Weekday</v>
      </c>
      <c r="H297" t="str">
        <f t="shared" ca="1" si="51"/>
        <v>Patient</v>
      </c>
      <c r="I297" t="str">
        <f t="shared" ca="1" si="52"/>
        <v>Neurology</v>
      </c>
      <c r="J297">
        <f t="shared" ca="1" si="53"/>
        <v>5</v>
      </c>
      <c r="K297">
        <f t="shared" ca="1" si="54"/>
        <v>13</v>
      </c>
    </row>
    <row r="298" spans="1:11" x14ac:dyDescent="0.3">
      <c r="A298" s="1">
        <f t="shared" ca="1" si="44"/>
        <v>45243</v>
      </c>
      <c r="B298" t="str">
        <f t="shared" si="45"/>
        <v>V0297</v>
      </c>
      <c r="C298" t="str">
        <f t="shared" ca="1" si="46"/>
        <v>Female</v>
      </c>
      <c r="D298">
        <f t="shared" ca="1" si="47"/>
        <v>50</v>
      </c>
      <c r="E298" t="str">
        <f t="shared" ca="1" si="48"/>
        <v>White</v>
      </c>
      <c r="F298" t="str">
        <f t="shared" ca="1" si="49"/>
        <v>PM</v>
      </c>
      <c r="G298" t="str">
        <f t="shared" ca="1" si="50"/>
        <v>Weekday</v>
      </c>
      <c r="H298" t="str">
        <f t="shared" ca="1" si="51"/>
        <v>Patient</v>
      </c>
      <c r="I298" t="str">
        <f t="shared" ca="1" si="52"/>
        <v>Cardiology</v>
      </c>
      <c r="J298">
        <f t="shared" ca="1" si="53"/>
        <v>3</v>
      </c>
      <c r="K298">
        <f t="shared" ca="1" si="54"/>
        <v>42</v>
      </c>
    </row>
    <row r="299" spans="1:11" x14ac:dyDescent="0.3">
      <c r="A299" s="1">
        <f t="shared" ca="1" si="44"/>
        <v>45118</v>
      </c>
      <c r="B299" t="str">
        <f t="shared" si="45"/>
        <v>V0298</v>
      </c>
      <c r="C299" t="str">
        <f t="shared" ca="1" si="46"/>
        <v>Male</v>
      </c>
      <c r="D299">
        <f t="shared" ca="1" si="47"/>
        <v>85</v>
      </c>
      <c r="E299" t="str">
        <f t="shared" ca="1" si="48"/>
        <v>Native American</v>
      </c>
      <c r="F299" t="str">
        <f t="shared" ca="1" si="49"/>
        <v>PM</v>
      </c>
      <c r="G299" t="str">
        <f t="shared" ca="1" si="50"/>
        <v>Weekday</v>
      </c>
      <c r="H299" t="str">
        <f t="shared" ca="1" si="51"/>
        <v>Non-Patient</v>
      </c>
      <c r="I299" t="str">
        <f t="shared" ca="1" si="52"/>
        <v>Physiotherapy</v>
      </c>
      <c r="J299">
        <f t="shared" ca="1" si="53"/>
        <v>1</v>
      </c>
      <c r="K299">
        <f t="shared" ca="1" si="54"/>
        <v>86</v>
      </c>
    </row>
    <row r="300" spans="1:11" x14ac:dyDescent="0.3">
      <c r="A300" s="1">
        <f t="shared" ca="1" si="44"/>
        <v>45012</v>
      </c>
      <c r="B300" t="str">
        <f t="shared" si="45"/>
        <v>V0299</v>
      </c>
      <c r="C300" t="str">
        <f t="shared" ca="1" si="46"/>
        <v>Male</v>
      </c>
      <c r="D300">
        <f t="shared" ca="1" si="47"/>
        <v>3</v>
      </c>
      <c r="E300" t="str">
        <f t="shared" ca="1" si="48"/>
        <v>Pacific Islander</v>
      </c>
      <c r="F300" t="str">
        <f t="shared" ca="1" si="49"/>
        <v>AM</v>
      </c>
      <c r="G300" t="str">
        <f t="shared" ca="1" si="50"/>
        <v>Weekday</v>
      </c>
      <c r="H300" t="str">
        <f t="shared" ca="1" si="51"/>
        <v>Non-Patient</v>
      </c>
      <c r="I300" t="str">
        <f t="shared" ca="1" si="52"/>
        <v>Physiotherapy</v>
      </c>
      <c r="J300">
        <f t="shared" ca="1" si="53"/>
        <v>4</v>
      </c>
      <c r="K300">
        <f t="shared" ca="1" si="54"/>
        <v>76</v>
      </c>
    </row>
    <row r="301" spans="1:11" x14ac:dyDescent="0.3">
      <c r="A301" s="1">
        <f t="shared" ca="1" si="44"/>
        <v>44993</v>
      </c>
      <c r="B301" t="str">
        <f t="shared" si="45"/>
        <v>V0300</v>
      </c>
      <c r="C301" t="str">
        <f t="shared" ca="1" si="46"/>
        <v>Female</v>
      </c>
      <c r="D301">
        <f t="shared" ca="1" si="47"/>
        <v>57</v>
      </c>
      <c r="E301" t="str">
        <f t="shared" ca="1" si="48"/>
        <v>Native American</v>
      </c>
      <c r="F301" t="str">
        <f t="shared" ca="1" si="49"/>
        <v>PM</v>
      </c>
      <c r="G301" t="str">
        <f t="shared" ca="1" si="50"/>
        <v>Weekday</v>
      </c>
      <c r="H301" t="str">
        <f t="shared" ca="1" si="51"/>
        <v>Patient</v>
      </c>
      <c r="I301" t="str">
        <f t="shared" ca="1" si="52"/>
        <v>Neurology</v>
      </c>
      <c r="J301">
        <f t="shared" ca="1" si="53"/>
        <v>6</v>
      </c>
      <c r="K301">
        <f t="shared" ca="1" si="54"/>
        <v>22</v>
      </c>
    </row>
    <row r="302" spans="1:11" x14ac:dyDescent="0.3">
      <c r="A302" s="1">
        <f t="shared" ca="1" si="44"/>
        <v>45205</v>
      </c>
      <c r="B302" t="str">
        <f t="shared" si="45"/>
        <v>V0301</v>
      </c>
      <c r="C302" t="str">
        <f t="shared" ca="1" si="46"/>
        <v>Female</v>
      </c>
      <c r="D302">
        <f t="shared" ca="1" si="47"/>
        <v>9</v>
      </c>
      <c r="E302" t="str">
        <f t="shared" ca="1" si="48"/>
        <v>White</v>
      </c>
      <c r="F302" t="str">
        <f t="shared" ca="1" si="49"/>
        <v>PM</v>
      </c>
      <c r="G302" t="str">
        <f t="shared" ca="1" si="50"/>
        <v>Weekday</v>
      </c>
      <c r="H302" t="str">
        <f t="shared" ca="1" si="51"/>
        <v>Non-Patient</v>
      </c>
      <c r="I302" t="str">
        <f t="shared" ca="1" si="52"/>
        <v>Neurology</v>
      </c>
      <c r="J302">
        <f t="shared" ca="1" si="53"/>
        <v>6</v>
      </c>
      <c r="K302">
        <f t="shared" ca="1" si="54"/>
        <v>40</v>
      </c>
    </row>
    <row r="303" spans="1:11" x14ac:dyDescent="0.3">
      <c r="A303" s="1">
        <f t="shared" ca="1" si="44"/>
        <v>45057</v>
      </c>
      <c r="B303" t="str">
        <f t="shared" si="45"/>
        <v>V0302</v>
      </c>
      <c r="C303" t="str">
        <f t="shared" ca="1" si="46"/>
        <v>Female</v>
      </c>
      <c r="D303">
        <f t="shared" ca="1" si="47"/>
        <v>42</v>
      </c>
      <c r="E303" t="str">
        <f t="shared" ca="1" si="48"/>
        <v>Native American</v>
      </c>
      <c r="F303" t="str">
        <f t="shared" ca="1" si="49"/>
        <v>PM</v>
      </c>
      <c r="G303" t="str">
        <f t="shared" ca="1" si="50"/>
        <v>Weekday</v>
      </c>
      <c r="H303" t="str">
        <f t="shared" ca="1" si="51"/>
        <v>Non-Patient</v>
      </c>
      <c r="I303" t="str">
        <f t="shared" ca="1" si="52"/>
        <v>Orthopedics</v>
      </c>
      <c r="J303">
        <f t="shared" ca="1" si="53"/>
        <v>7</v>
      </c>
      <c r="K303">
        <f t="shared" ca="1" si="54"/>
        <v>47</v>
      </c>
    </row>
    <row r="304" spans="1:11" x14ac:dyDescent="0.3">
      <c r="A304" s="1">
        <f t="shared" ca="1" si="44"/>
        <v>45033</v>
      </c>
      <c r="B304" t="str">
        <f t="shared" si="45"/>
        <v>V0303</v>
      </c>
      <c r="C304" t="str">
        <f t="shared" ca="1" si="46"/>
        <v>Male</v>
      </c>
      <c r="D304">
        <f t="shared" ca="1" si="47"/>
        <v>7</v>
      </c>
      <c r="E304" t="str">
        <f t="shared" ca="1" si="48"/>
        <v>Asian</v>
      </c>
      <c r="F304" t="str">
        <f t="shared" ca="1" si="49"/>
        <v>AM</v>
      </c>
      <c r="G304" t="str">
        <f t="shared" ca="1" si="50"/>
        <v>Weekday</v>
      </c>
      <c r="H304" t="str">
        <f t="shared" ca="1" si="51"/>
        <v>Patient</v>
      </c>
      <c r="I304" t="str">
        <f t="shared" ca="1" si="52"/>
        <v>Neurology</v>
      </c>
      <c r="J304">
        <f t="shared" ca="1" si="53"/>
        <v>8</v>
      </c>
      <c r="K304">
        <f t="shared" ca="1" si="54"/>
        <v>77</v>
      </c>
    </row>
    <row r="305" spans="1:11" x14ac:dyDescent="0.3">
      <c r="A305" s="1">
        <f t="shared" ca="1" si="44"/>
        <v>44937</v>
      </c>
      <c r="B305" t="str">
        <f t="shared" si="45"/>
        <v>V0304</v>
      </c>
      <c r="C305" t="str">
        <f t="shared" ca="1" si="46"/>
        <v>Male</v>
      </c>
      <c r="D305">
        <f t="shared" ca="1" si="47"/>
        <v>18</v>
      </c>
      <c r="E305" t="str">
        <f t="shared" ca="1" si="48"/>
        <v>White</v>
      </c>
      <c r="F305" t="str">
        <f t="shared" ca="1" si="49"/>
        <v>PM</v>
      </c>
      <c r="G305" t="str">
        <f t="shared" ca="1" si="50"/>
        <v>Weekday</v>
      </c>
      <c r="H305" t="str">
        <f t="shared" ca="1" si="51"/>
        <v>Non-Patient</v>
      </c>
      <c r="I305" t="str">
        <f t="shared" ca="1" si="52"/>
        <v>Cardiology</v>
      </c>
      <c r="J305">
        <f t="shared" ca="1" si="53"/>
        <v>6</v>
      </c>
      <c r="K305">
        <f t="shared" ca="1" si="54"/>
        <v>49</v>
      </c>
    </row>
    <row r="306" spans="1:11" x14ac:dyDescent="0.3">
      <c r="A306" s="1">
        <f t="shared" ca="1" si="44"/>
        <v>45135</v>
      </c>
      <c r="B306" t="str">
        <f t="shared" si="45"/>
        <v>V0305</v>
      </c>
      <c r="C306" t="str">
        <f t="shared" ca="1" si="46"/>
        <v>Female</v>
      </c>
      <c r="D306">
        <f t="shared" ca="1" si="47"/>
        <v>37</v>
      </c>
      <c r="E306" t="str">
        <f t="shared" ca="1" si="48"/>
        <v>African American</v>
      </c>
      <c r="F306" t="str">
        <f t="shared" ca="1" si="49"/>
        <v>AM</v>
      </c>
      <c r="G306" t="str">
        <f t="shared" ca="1" si="50"/>
        <v>Weekday</v>
      </c>
      <c r="H306" t="str">
        <f t="shared" ca="1" si="51"/>
        <v>Non-Patient</v>
      </c>
      <c r="I306" t="str">
        <f t="shared" ca="1" si="52"/>
        <v>Physiotherapy</v>
      </c>
      <c r="J306">
        <f t="shared" ca="1" si="53"/>
        <v>8</v>
      </c>
      <c r="K306">
        <f t="shared" ca="1" si="54"/>
        <v>86</v>
      </c>
    </row>
    <row r="307" spans="1:11" x14ac:dyDescent="0.3">
      <c r="A307" s="1">
        <f t="shared" ca="1" si="44"/>
        <v>45212</v>
      </c>
      <c r="B307" t="str">
        <f t="shared" si="45"/>
        <v>V0306</v>
      </c>
      <c r="C307" t="str">
        <f t="shared" ca="1" si="46"/>
        <v>Female</v>
      </c>
      <c r="D307">
        <f t="shared" ca="1" si="47"/>
        <v>71</v>
      </c>
      <c r="E307" t="str">
        <f t="shared" ca="1" si="48"/>
        <v>Native American</v>
      </c>
      <c r="F307" t="str">
        <f t="shared" ca="1" si="49"/>
        <v>AM</v>
      </c>
      <c r="G307" t="str">
        <f t="shared" ca="1" si="50"/>
        <v>Weekday</v>
      </c>
      <c r="H307" t="str">
        <f t="shared" ca="1" si="51"/>
        <v>Non-Patient</v>
      </c>
      <c r="I307" t="str">
        <f t="shared" ca="1" si="52"/>
        <v>Physiotherapy</v>
      </c>
      <c r="J307">
        <f t="shared" ca="1" si="53"/>
        <v>9</v>
      </c>
      <c r="K307">
        <f t="shared" ca="1" si="54"/>
        <v>50</v>
      </c>
    </row>
    <row r="308" spans="1:11" x14ac:dyDescent="0.3">
      <c r="A308" s="1">
        <f t="shared" ca="1" si="44"/>
        <v>45061</v>
      </c>
      <c r="B308" t="str">
        <f t="shared" si="45"/>
        <v>V0307</v>
      </c>
      <c r="C308" t="str">
        <f t="shared" ca="1" si="46"/>
        <v>Male</v>
      </c>
      <c r="D308">
        <f t="shared" ca="1" si="47"/>
        <v>19</v>
      </c>
      <c r="E308" t="str">
        <f t="shared" ca="1" si="48"/>
        <v>White</v>
      </c>
      <c r="F308" t="str">
        <f t="shared" ca="1" si="49"/>
        <v>AM</v>
      </c>
      <c r="G308" t="str">
        <f t="shared" ca="1" si="50"/>
        <v>Weekday</v>
      </c>
      <c r="H308" t="str">
        <f t="shared" ca="1" si="51"/>
        <v>Patient</v>
      </c>
      <c r="I308" t="str">
        <f t="shared" ca="1" si="52"/>
        <v>Neurology</v>
      </c>
      <c r="J308">
        <f t="shared" ca="1" si="53"/>
        <v>2</v>
      </c>
      <c r="K308">
        <f t="shared" ca="1" si="54"/>
        <v>16</v>
      </c>
    </row>
    <row r="309" spans="1:11" x14ac:dyDescent="0.3">
      <c r="A309" s="1">
        <f t="shared" ca="1" si="44"/>
        <v>45075</v>
      </c>
      <c r="B309" t="str">
        <f t="shared" si="45"/>
        <v>V0308</v>
      </c>
      <c r="C309" t="str">
        <f t="shared" ca="1" si="46"/>
        <v>Female</v>
      </c>
      <c r="D309">
        <f t="shared" ca="1" si="47"/>
        <v>39</v>
      </c>
      <c r="E309" t="str">
        <f t="shared" ca="1" si="48"/>
        <v>Asian</v>
      </c>
      <c r="F309" t="str">
        <f t="shared" ca="1" si="49"/>
        <v>PM</v>
      </c>
      <c r="G309" t="str">
        <f t="shared" ca="1" si="50"/>
        <v>Weekday</v>
      </c>
      <c r="H309" t="str">
        <f t="shared" ca="1" si="51"/>
        <v>Non-Patient</v>
      </c>
      <c r="I309" t="str">
        <f t="shared" ca="1" si="52"/>
        <v>General Practice</v>
      </c>
      <c r="J309">
        <f t="shared" ca="1" si="53"/>
        <v>7</v>
      </c>
      <c r="K309">
        <f t="shared" ca="1" si="54"/>
        <v>27</v>
      </c>
    </row>
    <row r="310" spans="1:11" x14ac:dyDescent="0.3">
      <c r="A310" s="1">
        <f t="shared" ca="1" si="44"/>
        <v>44980</v>
      </c>
      <c r="B310" t="str">
        <f t="shared" si="45"/>
        <v>V0309</v>
      </c>
      <c r="C310" t="str">
        <f t="shared" ca="1" si="46"/>
        <v>Female</v>
      </c>
      <c r="D310">
        <f t="shared" ca="1" si="47"/>
        <v>65</v>
      </c>
      <c r="E310" t="str">
        <f t="shared" ca="1" si="48"/>
        <v>Native American</v>
      </c>
      <c r="F310" t="str">
        <f t="shared" ca="1" si="49"/>
        <v>PM</v>
      </c>
      <c r="G310" t="str">
        <f t="shared" ca="1" si="50"/>
        <v>Weekday</v>
      </c>
      <c r="H310" t="str">
        <f t="shared" ca="1" si="51"/>
        <v>Patient</v>
      </c>
      <c r="I310" t="str">
        <f t="shared" ca="1" si="52"/>
        <v>Orthopedics</v>
      </c>
      <c r="J310">
        <f t="shared" ca="1" si="53"/>
        <v>4</v>
      </c>
      <c r="K310">
        <f t="shared" ca="1" si="54"/>
        <v>15</v>
      </c>
    </row>
    <row r="311" spans="1:11" x14ac:dyDescent="0.3">
      <c r="A311" s="1">
        <f t="shared" ca="1" si="44"/>
        <v>44980</v>
      </c>
      <c r="B311" t="str">
        <f t="shared" si="45"/>
        <v>V0310</v>
      </c>
      <c r="C311" t="str">
        <f t="shared" ca="1" si="46"/>
        <v>Male</v>
      </c>
      <c r="D311">
        <f t="shared" ca="1" si="47"/>
        <v>47</v>
      </c>
      <c r="E311" t="str">
        <f t="shared" ca="1" si="48"/>
        <v>Asian</v>
      </c>
      <c r="F311" t="str">
        <f t="shared" ca="1" si="49"/>
        <v>AM</v>
      </c>
      <c r="G311" t="str">
        <f t="shared" ca="1" si="50"/>
        <v>Weekday</v>
      </c>
      <c r="H311" t="str">
        <f t="shared" ca="1" si="51"/>
        <v>Non-Patient</v>
      </c>
      <c r="I311" t="str">
        <f t="shared" ca="1" si="52"/>
        <v>General Practice</v>
      </c>
      <c r="J311">
        <f t="shared" ca="1" si="53"/>
        <v>1</v>
      </c>
      <c r="K311">
        <f t="shared" ca="1" si="54"/>
        <v>57</v>
      </c>
    </row>
    <row r="312" spans="1:11" x14ac:dyDescent="0.3">
      <c r="A312" s="1">
        <f t="shared" ca="1" si="44"/>
        <v>44937</v>
      </c>
      <c r="B312" t="str">
        <f t="shared" si="45"/>
        <v>V0311</v>
      </c>
      <c r="C312" t="str">
        <f t="shared" ca="1" si="46"/>
        <v>Female</v>
      </c>
      <c r="D312">
        <f t="shared" ca="1" si="47"/>
        <v>33</v>
      </c>
      <c r="E312" t="str">
        <f t="shared" ca="1" si="48"/>
        <v>African American</v>
      </c>
      <c r="F312" t="str">
        <f t="shared" ca="1" si="49"/>
        <v>PM</v>
      </c>
      <c r="G312" t="str">
        <f t="shared" ca="1" si="50"/>
        <v>Weekday</v>
      </c>
      <c r="H312" t="str">
        <f t="shared" ca="1" si="51"/>
        <v>Non-Patient</v>
      </c>
      <c r="I312" t="str">
        <f t="shared" ca="1" si="52"/>
        <v>General Practice</v>
      </c>
      <c r="J312">
        <f t="shared" ca="1" si="53"/>
        <v>2</v>
      </c>
      <c r="K312">
        <f t="shared" ca="1" si="54"/>
        <v>59</v>
      </c>
    </row>
    <row r="313" spans="1:11" x14ac:dyDescent="0.3">
      <c r="A313" s="1">
        <f t="shared" ca="1" si="44"/>
        <v>45292</v>
      </c>
      <c r="B313" t="str">
        <f t="shared" si="45"/>
        <v>V0312</v>
      </c>
      <c r="C313" t="str">
        <f t="shared" ca="1" si="46"/>
        <v>Male</v>
      </c>
      <c r="D313">
        <f t="shared" ca="1" si="47"/>
        <v>58</v>
      </c>
      <c r="E313" t="str">
        <f t="shared" ca="1" si="48"/>
        <v>Pacific Islander</v>
      </c>
      <c r="F313" t="str">
        <f t="shared" ca="1" si="49"/>
        <v>PM</v>
      </c>
      <c r="G313" t="str">
        <f t="shared" ca="1" si="50"/>
        <v>Weekday</v>
      </c>
      <c r="H313" t="str">
        <f t="shared" ca="1" si="51"/>
        <v>Patient</v>
      </c>
      <c r="I313" t="str">
        <f t="shared" ca="1" si="52"/>
        <v>Orthopedics</v>
      </c>
      <c r="J313">
        <f t="shared" ca="1" si="53"/>
        <v>6</v>
      </c>
      <c r="K313">
        <f t="shared" ca="1" si="54"/>
        <v>63</v>
      </c>
    </row>
    <row r="314" spans="1:11" x14ac:dyDescent="0.3">
      <c r="A314" s="1">
        <f t="shared" ca="1" si="44"/>
        <v>45219</v>
      </c>
      <c r="B314" t="str">
        <f t="shared" si="45"/>
        <v>V0313</v>
      </c>
      <c r="C314" t="str">
        <f t="shared" ca="1" si="46"/>
        <v>Female</v>
      </c>
      <c r="D314">
        <f t="shared" ca="1" si="47"/>
        <v>68</v>
      </c>
      <c r="E314" t="str">
        <f t="shared" ca="1" si="48"/>
        <v>Pacific Islander</v>
      </c>
      <c r="F314" t="str">
        <f t="shared" ca="1" si="49"/>
        <v>PM</v>
      </c>
      <c r="G314" t="str">
        <f t="shared" ca="1" si="50"/>
        <v>Weekday</v>
      </c>
      <c r="H314" t="str">
        <f t="shared" ca="1" si="51"/>
        <v>Patient</v>
      </c>
      <c r="I314" t="str">
        <f t="shared" ca="1" si="52"/>
        <v>Physiotherapy</v>
      </c>
      <c r="J314">
        <f t="shared" ca="1" si="53"/>
        <v>4</v>
      </c>
      <c r="K314">
        <f t="shared" ca="1" si="54"/>
        <v>19</v>
      </c>
    </row>
    <row r="315" spans="1:11" x14ac:dyDescent="0.3">
      <c r="A315" s="1">
        <f t="shared" ca="1" si="44"/>
        <v>45053</v>
      </c>
      <c r="B315" t="str">
        <f t="shared" si="45"/>
        <v>V0314</v>
      </c>
      <c r="C315" t="str">
        <f t="shared" ca="1" si="46"/>
        <v>Male</v>
      </c>
      <c r="D315">
        <f t="shared" ca="1" si="47"/>
        <v>81</v>
      </c>
      <c r="E315" t="str">
        <f t="shared" ca="1" si="48"/>
        <v>Pacific Islander</v>
      </c>
      <c r="F315" t="str">
        <f t="shared" ca="1" si="49"/>
        <v>PM</v>
      </c>
      <c r="G315" t="str">
        <f t="shared" ca="1" si="50"/>
        <v>Weekend</v>
      </c>
      <c r="H315" t="str">
        <f t="shared" ca="1" si="51"/>
        <v>Patient</v>
      </c>
      <c r="I315" t="str">
        <f t="shared" ca="1" si="52"/>
        <v>Cardiology</v>
      </c>
      <c r="J315">
        <f t="shared" ca="1" si="53"/>
        <v>10</v>
      </c>
      <c r="K315">
        <f t="shared" ca="1" si="54"/>
        <v>34</v>
      </c>
    </row>
    <row r="316" spans="1:11" x14ac:dyDescent="0.3">
      <c r="A316" s="1">
        <f t="shared" ca="1" si="44"/>
        <v>45153</v>
      </c>
      <c r="B316" t="str">
        <f t="shared" si="45"/>
        <v>V0315</v>
      </c>
      <c r="C316" t="str">
        <f t="shared" ca="1" si="46"/>
        <v>Male</v>
      </c>
      <c r="D316">
        <f t="shared" ca="1" si="47"/>
        <v>44</v>
      </c>
      <c r="E316" t="str">
        <f t="shared" ca="1" si="48"/>
        <v>White</v>
      </c>
      <c r="F316" t="str">
        <f t="shared" ca="1" si="49"/>
        <v>AM</v>
      </c>
      <c r="G316" t="str">
        <f t="shared" ca="1" si="50"/>
        <v>Weekday</v>
      </c>
      <c r="H316" t="str">
        <f t="shared" ca="1" si="51"/>
        <v>Patient</v>
      </c>
      <c r="I316" t="str">
        <f t="shared" ca="1" si="52"/>
        <v>Neurology</v>
      </c>
      <c r="J316">
        <f t="shared" ca="1" si="53"/>
        <v>2</v>
      </c>
      <c r="K316">
        <f t="shared" ca="1" si="54"/>
        <v>51</v>
      </c>
    </row>
    <row r="317" spans="1:11" x14ac:dyDescent="0.3">
      <c r="A317" s="1">
        <f t="shared" ca="1" si="44"/>
        <v>45024</v>
      </c>
      <c r="B317" t="str">
        <f t="shared" si="45"/>
        <v>V0316</v>
      </c>
      <c r="C317" t="str">
        <f t="shared" ca="1" si="46"/>
        <v>Female</v>
      </c>
      <c r="D317">
        <f t="shared" ca="1" si="47"/>
        <v>24</v>
      </c>
      <c r="E317" t="str">
        <f t="shared" ca="1" si="48"/>
        <v>White</v>
      </c>
      <c r="F317" t="str">
        <f t="shared" ca="1" si="49"/>
        <v>PM</v>
      </c>
      <c r="G317" t="str">
        <f t="shared" ca="1" si="50"/>
        <v>Weekend</v>
      </c>
      <c r="H317" t="str">
        <f t="shared" ca="1" si="51"/>
        <v>Patient</v>
      </c>
      <c r="I317" t="str">
        <f t="shared" ca="1" si="52"/>
        <v>Orthopedics</v>
      </c>
      <c r="J317">
        <f t="shared" ca="1" si="53"/>
        <v>8</v>
      </c>
      <c r="K317">
        <f t="shared" ca="1" si="54"/>
        <v>24</v>
      </c>
    </row>
    <row r="318" spans="1:11" x14ac:dyDescent="0.3">
      <c r="A318" s="1">
        <f t="shared" ca="1" si="44"/>
        <v>45093</v>
      </c>
      <c r="B318" t="str">
        <f t="shared" si="45"/>
        <v>V0317</v>
      </c>
      <c r="C318" t="str">
        <f t="shared" ca="1" si="46"/>
        <v>Male</v>
      </c>
      <c r="D318">
        <f t="shared" ca="1" si="47"/>
        <v>49</v>
      </c>
      <c r="E318" t="str">
        <f t="shared" ca="1" si="48"/>
        <v>African American</v>
      </c>
      <c r="F318" t="str">
        <f t="shared" ca="1" si="49"/>
        <v>PM</v>
      </c>
      <c r="G318" t="str">
        <f t="shared" ca="1" si="50"/>
        <v>Weekday</v>
      </c>
      <c r="H318" t="str">
        <f t="shared" ca="1" si="51"/>
        <v>Non-Patient</v>
      </c>
      <c r="I318" t="str">
        <f t="shared" ca="1" si="52"/>
        <v>Orthopedics</v>
      </c>
      <c r="J318">
        <f t="shared" ca="1" si="53"/>
        <v>5</v>
      </c>
      <c r="K318">
        <f t="shared" ca="1" si="54"/>
        <v>52</v>
      </c>
    </row>
    <row r="319" spans="1:11" x14ac:dyDescent="0.3">
      <c r="A319" s="1">
        <f t="shared" ca="1" si="44"/>
        <v>45122</v>
      </c>
      <c r="B319" t="str">
        <f t="shared" si="45"/>
        <v>V0318</v>
      </c>
      <c r="C319" t="str">
        <f t="shared" ca="1" si="46"/>
        <v>Female</v>
      </c>
      <c r="D319">
        <f t="shared" ca="1" si="47"/>
        <v>58</v>
      </c>
      <c r="E319" t="str">
        <f t="shared" ca="1" si="48"/>
        <v>Native American</v>
      </c>
      <c r="F319" t="str">
        <f t="shared" ca="1" si="49"/>
        <v>AM</v>
      </c>
      <c r="G319" t="str">
        <f t="shared" ca="1" si="50"/>
        <v>Weekend</v>
      </c>
      <c r="H319" t="str">
        <f t="shared" ca="1" si="51"/>
        <v>Non-Patient</v>
      </c>
      <c r="I319" t="str">
        <f t="shared" ca="1" si="52"/>
        <v>General Practice</v>
      </c>
      <c r="J319">
        <f t="shared" ca="1" si="53"/>
        <v>4</v>
      </c>
      <c r="K319">
        <f t="shared" ca="1" si="54"/>
        <v>18</v>
      </c>
    </row>
    <row r="320" spans="1:11" x14ac:dyDescent="0.3">
      <c r="A320" s="1">
        <f t="shared" ca="1" si="44"/>
        <v>44949</v>
      </c>
      <c r="B320" t="str">
        <f t="shared" si="45"/>
        <v>V0319</v>
      </c>
      <c r="C320" t="str">
        <f t="shared" ca="1" si="46"/>
        <v>Female</v>
      </c>
      <c r="D320">
        <f t="shared" ca="1" si="47"/>
        <v>69</v>
      </c>
      <c r="E320" t="str">
        <f t="shared" ca="1" si="48"/>
        <v>Native American</v>
      </c>
      <c r="F320" t="str">
        <f t="shared" ca="1" si="49"/>
        <v>AM</v>
      </c>
      <c r="G320" t="str">
        <f t="shared" ca="1" si="50"/>
        <v>Weekday</v>
      </c>
      <c r="H320" t="str">
        <f t="shared" ca="1" si="51"/>
        <v>Non-Patient</v>
      </c>
      <c r="I320" t="str">
        <f t="shared" ca="1" si="52"/>
        <v>Physiotherapy</v>
      </c>
      <c r="J320">
        <f t="shared" ca="1" si="53"/>
        <v>8</v>
      </c>
      <c r="K320">
        <f t="shared" ca="1" si="54"/>
        <v>73</v>
      </c>
    </row>
    <row r="321" spans="1:11" x14ac:dyDescent="0.3">
      <c r="A321" s="1">
        <f t="shared" ca="1" si="44"/>
        <v>45289</v>
      </c>
      <c r="B321" t="str">
        <f t="shared" si="45"/>
        <v>V0320</v>
      </c>
      <c r="C321" t="str">
        <f t="shared" ca="1" si="46"/>
        <v>Male</v>
      </c>
      <c r="D321">
        <f t="shared" ca="1" si="47"/>
        <v>6</v>
      </c>
      <c r="E321" t="str">
        <f t="shared" ca="1" si="48"/>
        <v>Native American</v>
      </c>
      <c r="F321" t="str">
        <f t="shared" ca="1" si="49"/>
        <v>PM</v>
      </c>
      <c r="G321" t="str">
        <f t="shared" ca="1" si="50"/>
        <v>Weekday</v>
      </c>
      <c r="H321" t="str">
        <f t="shared" ca="1" si="51"/>
        <v>Patient</v>
      </c>
      <c r="I321" t="str">
        <f t="shared" ca="1" si="52"/>
        <v>Neurology</v>
      </c>
      <c r="J321">
        <f t="shared" ca="1" si="53"/>
        <v>10</v>
      </c>
      <c r="K321">
        <f t="shared" ca="1" si="54"/>
        <v>71</v>
      </c>
    </row>
    <row r="322" spans="1:11" x14ac:dyDescent="0.3">
      <c r="A322" s="1">
        <f t="shared" ca="1" si="44"/>
        <v>45037</v>
      </c>
      <c r="B322" t="str">
        <f t="shared" si="45"/>
        <v>V0321</v>
      </c>
      <c r="C322" t="str">
        <f t="shared" ca="1" si="46"/>
        <v>Male</v>
      </c>
      <c r="D322">
        <f t="shared" ca="1" si="47"/>
        <v>22</v>
      </c>
      <c r="E322" t="str">
        <f t="shared" ca="1" si="48"/>
        <v>White</v>
      </c>
      <c r="F322" t="str">
        <f t="shared" ca="1" si="49"/>
        <v>PM</v>
      </c>
      <c r="G322" t="str">
        <f t="shared" ca="1" si="50"/>
        <v>Weekday</v>
      </c>
      <c r="H322" t="str">
        <f t="shared" ca="1" si="51"/>
        <v>Patient</v>
      </c>
      <c r="I322" t="str">
        <f t="shared" ca="1" si="52"/>
        <v>Neurology</v>
      </c>
      <c r="J322">
        <f t="shared" ca="1" si="53"/>
        <v>2</v>
      </c>
      <c r="K322">
        <f t="shared" ca="1" si="54"/>
        <v>13</v>
      </c>
    </row>
    <row r="323" spans="1:11" x14ac:dyDescent="0.3">
      <c r="A323" s="1">
        <f t="shared" ref="A323:A386" ca="1" si="55">DATE(2023,1,1)+RANDBETWEEN(0,365)</f>
        <v>45281</v>
      </c>
      <c r="B323" t="str">
        <f t="shared" ref="B323:B386" si="56">"V"&amp;TEXT(ROW(A323)-1,"0000")</f>
        <v>V0322</v>
      </c>
      <c r="C323" t="str">
        <f t="shared" ref="C323:C386" ca="1" si="57">IF(RAND()&gt;0.5,"Male","Female")</f>
        <v>Female</v>
      </c>
      <c r="D323">
        <f t="shared" ref="D323:D386" ca="1" si="58">RANDBETWEEN(1,85)</f>
        <v>55</v>
      </c>
      <c r="E323" t="str">
        <f t="shared" ref="E323:E386" ca="1" si="59">CHOOSE(RANDBETWEEN(1,5),"White","African American","Asian","Pacific Islander","Native American")</f>
        <v>Pacific Islander</v>
      </c>
      <c r="F323" t="str">
        <f t="shared" ref="F323:F386" ca="1" si="60">IF(RAND()&gt;0.5,"AM","PM")</f>
        <v>AM</v>
      </c>
      <c r="G323" t="str">
        <f t="shared" ref="G323:G386" ca="1" si="61">IF(WEEKDAY(A323,2)&lt;=5,"Weekday","Weekend")</f>
        <v>Weekday</v>
      </c>
      <c r="H323" t="str">
        <f t="shared" ref="H323:H386" ca="1" si="62">IF(RAND()&gt;0.5,"Patient","Non-Patient")</f>
        <v>Patient</v>
      </c>
      <c r="I323" t="str">
        <f t="shared" ref="I323:I386" ca="1" si="63">CHOOSE(RANDBETWEEN(1,5),"General Practice","Orthopedics","Cardiology","Physiotherapy","Neurology")</f>
        <v>Cardiology</v>
      </c>
      <c r="J323">
        <f t="shared" ref="J323:J386" ca="1" si="64">RANDBETWEEN(1,10)</f>
        <v>4</v>
      </c>
      <c r="K323">
        <f t="shared" ref="K323:K386" ca="1" si="65">RANDBETWEEN(10,90)</f>
        <v>76</v>
      </c>
    </row>
    <row r="324" spans="1:11" x14ac:dyDescent="0.3">
      <c r="A324" s="1">
        <f t="shared" ca="1" si="55"/>
        <v>45043</v>
      </c>
      <c r="B324" t="str">
        <f t="shared" si="56"/>
        <v>V0323</v>
      </c>
      <c r="C324" t="str">
        <f t="shared" ca="1" si="57"/>
        <v>Female</v>
      </c>
      <c r="D324">
        <f t="shared" ca="1" si="58"/>
        <v>56</v>
      </c>
      <c r="E324" t="str">
        <f t="shared" ca="1" si="59"/>
        <v>White</v>
      </c>
      <c r="F324" t="str">
        <f t="shared" ca="1" si="60"/>
        <v>PM</v>
      </c>
      <c r="G324" t="str">
        <f t="shared" ca="1" si="61"/>
        <v>Weekday</v>
      </c>
      <c r="H324" t="str">
        <f t="shared" ca="1" si="62"/>
        <v>Non-Patient</v>
      </c>
      <c r="I324" t="str">
        <f t="shared" ca="1" si="63"/>
        <v>General Practice</v>
      </c>
      <c r="J324">
        <f t="shared" ca="1" si="64"/>
        <v>1</v>
      </c>
      <c r="K324">
        <f t="shared" ca="1" si="65"/>
        <v>48</v>
      </c>
    </row>
    <row r="325" spans="1:11" x14ac:dyDescent="0.3">
      <c r="A325" s="1">
        <f t="shared" ca="1" si="55"/>
        <v>45091</v>
      </c>
      <c r="B325" t="str">
        <f t="shared" si="56"/>
        <v>V0324</v>
      </c>
      <c r="C325" t="str">
        <f t="shared" ca="1" si="57"/>
        <v>Male</v>
      </c>
      <c r="D325">
        <f t="shared" ca="1" si="58"/>
        <v>2</v>
      </c>
      <c r="E325" t="str">
        <f t="shared" ca="1" si="59"/>
        <v>White</v>
      </c>
      <c r="F325" t="str">
        <f t="shared" ca="1" si="60"/>
        <v>PM</v>
      </c>
      <c r="G325" t="str">
        <f t="shared" ca="1" si="61"/>
        <v>Weekday</v>
      </c>
      <c r="H325" t="str">
        <f t="shared" ca="1" si="62"/>
        <v>Patient</v>
      </c>
      <c r="I325" t="str">
        <f t="shared" ca="1" si="63"/>
        <v>Physiotherapy</v>
      </c>
      <c r="J325">
        <f t="shared" ca="1" si="64"/>
        <v>10</v>
      </c>
      <c r="K325">
        <f t="shared" ca="1" si="65"/>
        <v>27</v>
      </c>
    </row>
    <row r="326" spans="1:11" x14ac:dyDescent="0.3">
      <c r="A326" s="1">
        <f t="shared" ca="1" si="55"/>
        <v>45283</v>
      </c>
      <c r="B326" t="str">
        <f t="shared" si="56"/>
        <v>V0325</v>
      </c>
      <c r="C326" t="str">
        <f t="shared" ca="1" si="57"/>
        <v>Male</v>
      </c>
      <c r="D326">
        <f t="shared" ca="1" si="58"/>
        <v>20</v>
      </c>
      <c r="E326" t="str">
        <f t="shared" ca="1" si="59"/>
        <v>African American</v>
      </c>
      <c r="F326" t="str">
        <f t="shared" ca="1" si="60"/>
        <v>AM</v>
      </c>
      <c r="G326" t="str">
        <f t="shared" ca="1" si="61"/>
        <v>Weekend</v>
      </c>
      <c r="H326" t="str">
        <f t="shared" ca="1" si="62"/>
        <v>Patient</v>
      </c>
      <c r="I326" t="str">
        <f t="shared" ca="1" si="63"/>
        <v>Neurology</v>
      </c>
      <c r="J326">
        <f t="shared" ca="1" si="64"/>
        <v>9</v>
      </c>
      <c r="K326">
        <f t="shared" ca="1" si="65"/>
        <v>46</v>
      </c>
    </row>
    <row r="327" spans="1:11" x14ac:dyDescent="0.3">
      <c r="A327" s="1">
        <f t="shared" ca="1" si="55"/>
        <v>45153</v>
      </c>
      <c r="B327" t="str">
        <f t="shared" si="56"/>
        <v>V0326</v>
      </c>
      <c r="C327" t="str">
        <f t="shared" ca="1" si="57"/>
        <v>Male</v>
      </c>
      <c r="D327">
        <f t="shared" ca="1" si="58"/>
        <v>42</v>
      </c>
      <c r="E327" t="str">
        <f t="shared" ca="1" si="59"/>
        <v>Native American</v>
      </c>
      <c r="F327" t="str">
        <f t="shared" ca="1" si="60"/>
        <v>PM</v>
      </c>
      <c r="G327" t="str">
        <f t="shared" ca="1" si="61"/>
        <v>Weekday</v>
      </c>
      <c r="H327" t="str">
        <f t="shared" ca="1" si="62"/>
        <v>Non-Patient</v>
      </c>
      <c r="I327" t="str">
        <f t="shared" ca="1" si="63"/>
        <v>Orthopedics</v>
      </c>
      <c r="J327">
        <f t="shared" ca="1" si="64"/>
        <v>3</v>
      </c>
      <c r="K327">
        <f t="shared" ca="1" si="65"/>
        <v>54</v>
      </c>
    </row>
    <row r="328" spans="1:11" x14ac:dyDescent="0.3">
      <c r="A328" s="1">
        <f t="shared" ca="1" si="55"/>
        <v>45080</v>
      </c>
      <c r="B328" t="str">
        <f t="shared" si="56"/>
        <v>V0327</v>
      </c>
      <c r="C328" t="str">
        <f t="shared" ca="1" si="57"/>
        <v>Male</v>
      </c>
      <c r="D328">
        <f t="shared" ca="1" si="58"/>
        <v>4</v>
      </c>
      <c r="E328" t="str">
        <f t="shared" ca="1" si="59"/>
        <v>Asian</v>
      </c>
      <c r="F328" t="str">
        <f t="shared" ca="1" si="60"/>
        <v>AM</v>
      </c>
      <c r="G328" t="str">
        <f t="shared" ca="1" si="61"/>
        <v>Weekend</v>
      </c>
      <c r="H328" t="str">
        <f t="shared" ca="1" si="62"/>
        <v>Patient</v>
      </c>
      <c r="I328" t="str">
        <f t="shared" ca="1" si="63"/>
        <v>General Practice</v>
      </c>
      <c r="J328">
        <f t="shared" ca="1" si="64"/>
        <v>10</v>
      </c>
      <c r="K328">
        <f t="shared" ca="1" si="65"/>
        <v>29</v>
      </c>
    </row>
    <row r="329" spans="1:11" x14ac:dyDescent="0.3">
      <c r="A329" s="1">
        <f t="shared" ca="1" si="55"/>
        <v>44984</v>
      </c>
      <c r="B329" t="str">
        <f t="shared" si="56"/>
        <v>V0328</v>
      </c>
      <c r="C329" t="str">
        <f t="shared" ca="1" si="57"/>
        <v>Male</v>
      </c>
      <c r="D329">
        <f t="shared" ca="1" si="58"/>
        <v>37</v>
      </c>
      <c r="E329" t="str">
        <f t="shared" ca="1" si="59"/>
        <v>Native American</v>
      </c>
      <c r="F329" t="str">
        <f t="shared" ca="1" si="60"/>
        <v>AM</v>
      </c>
      <c r="G329" t="str">
        <f t="shared" ca="1" si="61"/>
        <v>Weekday</v>
      </c>
      <c r="H329" t="str">
        <f t="shared" ca="1" si="62"/>
        <v>Non-Patient</v>
      </c>
      <c r="I329" t="str">
        <f t="shared" ca="1" si="63"/>
        <v>Orthopedics</v>
      </c>
      <c r="J329">
        <f t="shared" ca="1" si="64"/>
        <v>7</v>
      </c>
      <c r="K329">
        <f t="shared" ca="1" si="65"/>
        <v>28</v>
      </c>
    </row>
    <row r="330" spans="1:11" x14ac:dyDescent="0.3">
      <c r="A330" s="1">
        <f t="shared" ca="1" si="55"/>
        <v>45217</v>
      </c>
      <c r="B330" t="str">
        <f t="shared" si="56"/>
        <v>V0329</v>
      </c>
      <c r="C330" t="str">
        <f t="shared" ca="1" si="57"/>
        <v>Female</v>
      </c>
      <c r="D330">
        <f t="shared" ca="1" si="58"/>
        <v>44</v>
      </c>
      <c r="E330" t="str">
        <f t="shared" ca="1" si="59"/>
        <v>Asian</v>
      </c>
      <c r="F330" t="str">
        <f t="shared" ca="1" si="60"/>
        <v>AM</v>
      </c>
      <c r="G330" t="str">
        <f t="shared" ca="1" si="61"/>
        <v>Weekday</v>
      </c>
      <c r="H330" t="str">
        <f t="shared" ca="1" si="62"/>
        <v>Non-Patient</v>
      </c>
      <c r="I330" t="str">
        <f t="shared" ca="1" si="63"/>
        <v>Orthopedics</v>
      </c>
      <c r="J330">
        <f t="shared" ca="1" si="64"/>
        <v>9</v>
      </c>
      <c r="K330">
        <f t="shared" ca="1" si="65"/>
        <v>36</v>
      </c>
    </row>
    <row r="331" spans="1:11" x14ac:dyDescent="0.3">
      <c r="A331" s="1">
        <f t="shared" ca="1" si="55"/>
        <v>45086</v>
      </c>
      <c r="B331" t="str">
        <f t="shared" si="56"/>
        <v>V0330</v>
      </c>
      <c r="C331" t="str">
        <f t="shared" ca="1" si="57"/>
        <v>Male</v>
      </c>
      <c r="D331">
        <f t="shared" ca="1" si="58"/>
        <v>69</v>
      </c>
      <c r="E331" t="str">
        <f t="shared" ca="1" si="59"/>
        <v>Native American</v>
      </c>
      <c r="F331" t="str">
        <f t="shared" ca="1" si="60"/>
        <v>PM</v>
      </c>
      <c r="G331" t="str">
        <f t="shared" ca="1" si="61"/>
        <v>Weekday</v>
      </c>
      <c r="H331" t="str">
        <f t="shared" ca="1" si="62"/>
        <v>Non-Patient</v>
      </c>
      <c r="I331" t="str">
        <f t="shared" ca="1" si="63"/>
        <v>Cardiology</v>
      </c>
      <c r="J331">
        <f t="shared" ca="1" si="64"/>
        <v>6</v>
      </c>
      <c r="K331">
        <f t="shared" ca="1" si="65"/>
        <v>85</v>
      </c>
    </row>
    <row r="332" spans="1:11" x14ac:dyDescent="0.3">
      <c r="A332" s="1">
        <f t="shared" ca="1" si="55"/>
        <v>45169</v>
      </c>
      <c r="B332" t="str">
        <f t="shared" si="56"/>
        <v>V0331</v>
      </c>
      <c r="C332" t="str">
        <f t="shared" ca="1" si="57"/>
        <v>Female</v>
      </c>
      <c r="D332">
        <f t="shared" ca="1" si="58"/>
        <v>24</v>
      </c>
      <c r="E332" t="str">
        <f t="shared" ca="1" si="59"/>
        <v>African American</v>
      </c>
      <c r="F332" t="str">
        <f t="shared" ca="1" si="60"/>
        <v>AM</v>
      </c>
      <c r="G332" t="str">
        <f t="shared" ca="1" si="61"/>
        <v>Weekday</v>
      </c>
      <c r="H332" t="str">
        <f t="shared" ca="1" si="62"/>
        <v>Non-Patient</v>
      </c>
      <c r="I332" t="str">
        <f t="shared" ca="1" si="63"/>
        <v>Orthopedics</v>
      </c>
      <c r="J332">
        <f t="shared" ca="1" si="64"/>
        <v>3</v>
      </c>
      <c r="K332">
        <f t="shared" ca="1" si="65"/>
        <v>39</v>
      </c>
    </row>
    <row r="333" spans="1:11" x14ac:dyDescent="0.3">
      <c r="A333" s="1">
        <f t="shared" ca="1" si="55"/>
        <v>45029</v>
      </c>
      <c r="B333" t="str">
        <f t="shared" si="56"/>
        <v>V0332</v>
      </c>
      <c r="C333" t="str">
        <f t="shared" ca="1" si="57"/>
        <v>Female</v>
      </c>
      <c r="D333">
        <f t="shared" ca="1" si="58"/>
        <v>44</v>
      </c>
      <c r="E333" t="str">
        <f t="shared" ca="1" si="59"/>
        <v>Asian</v>
      </c>
      <c r="F333" t="str">
        <f t="shared" ca="1" si="60"/>
        <v>PM</v>
      </c>
      <c r="G333" t="str">
        <f t="shared" ca="1" si="61"/>
        <v>Weekday</v>
      </c>
      <c r="H333" t="str">
        <f t="shared" ca="1" si="62"/>
        <v>Non-Patient</v>
      </c>
      <c r="I333" t="str">
        <f t="shared" ca="1" si="63"/>
        <v>Neurology</v>
      </c>
      <c r="J333">
        <f t="shared" ca="1" si="64"/>
        <v>1</v>
      </c>
      <c r="K333">
        <f t="shared" ca="1" si="65"/>
        <v>56</v>
      </c>
    </row>
    <row r="334" spans="1:11" x14ac:dyDescent="0.3">
      <c r="A334" s="1">
        <f t="shared" ca="1" si="55"/>
        <v>45169</v>
      </c>
      <c r="B334" t="str">
        <f t="shared" si="56"/>
        <v>V0333</v>
      </c>
      <c r="C334" t="str">
        <f t="shared" ca="1" si="57"/>
        <v>Female</v>
      </c>
      <c r="D334">
        <f t="shared" ca="1" si="58"/>
        <v>20</v>
      </c>
      <c r="E334" t="str">
        <f t="shared" ca="1" si="59"/>
        <v>African American</v>
      </c>
      <c r="F334" t="str">
        <f t="shared" ca="1" si="60"/>
        <v>AM</v>
      </c>
      <c r="G334" t="str">
        <f t="shared" ca="1" si="61"/>
        <v>Weekday</v>
      </c>
      <c r="H334" t="str">
        <f t="shared" ca="1" si="62"/>
        <v>Patient</v>
      </c>
      <c r="I334" t="str">
        <f t="shared" ca="1" si="63"/>
        <v>Orthopedics</v>
      </c>
      <c r="J334">
        <f t="shared" ca="1" si="64"/>
        <v>10</v>
      </c>
      <c r="K334">
        <f t="shared" ca="1" si="65"/>
        <v>31</v>
      </c>
    </row>
    <row r="335" spans="1:11" x14ac:dyDescent="0.3">
      <c r="A335" s="1">
        <f t="shared" ca="1" si="55"/>
        <v>45138</v>
      </c>
      <c r="B335" t="str">
        <f t="shared" si="56"/>
        <v>V0334</v>
      </c>
      <c r="C335" t="str">
        <f t="shared" ca="1" si="57"/>
        <v>Female</v>
      </c>
      <c r="D335">
        <f t="shared" ca="1" si="58"/>
        <v>48</v>
      </c>
      <c r="E335" t="str">
        <f t="shared" ca="1" si="59"/>
        <v>African American</v>
      </c>
      <c r="F335" t="str">
        <f t="shared" ca="1" si="60"/>
        <v>PM</v>
      </c>
      <c r="G335" t="str">
        <f t="shared" ca="1" si="61"/>
        <v>Weekday</v>
      </c>
      <c r="H335" t="str">
        <f t="shared" ca="1" si="62"/>
        <v>Non-Patient</v>
      </c>
      <c r="I335" t="str">
        <f t="shared" ca="1" si="63"/>
        <v>Orthopedics</v>
      </c>
      <c r="J335">
        <f t="shared" ca="1" si="64"/>
        <v>4</v>
      </c>
      <c r="K335">
        <f t="shared" ca="1" si="65"/>
        <v>32</v>
      </c>
    </row>
    <row r="336" spans="1:11" x14ac:dyDescent="0.3">
      <c r="A336" s="1">
        <f t="shared" ca="1" si="55"/>
        <v>45033</v>
      </c>
      <c r="B336" t="str">
        <f t="shared" si="56"/>
        <v>V0335</v>
      </c>
      <c r="C336" t="str">
        <f t="shared" ca="1" si="57"/>
        <v>Female</v>
      </c>
      <c r="D336">
        <f t="shared" ca="1" si="58"/>
        <v>7</v>
      </c>
      <c r="E336" t="str">
        <f t="shared" ca="1" si="59"/>
        <v>Native American</v>
      </c>
      <c r="F336" t="str">
        <f t="shared" ca="1" si="60"/>
        <v>PM</v>
      </c>
      <c r="G336" t="str">
        <f t="shared" ca="1" si="61"/>
        <v>Weekday</v>
      </c>
      <c r="H336" t="str">
        <f t="shared" ca="1" si="62"/>
        <v>Non-Patient</v>
      </c>
      <c r="I336" t="str">
        <f t="shared" ca="1" si="63"/>
        <v>General Practice</v>
      </c>
      <c r="J336">
        <f t="shared" ca="1" si="64"/>
        <v>10</v>
      </c>
      <c r="K336">
        <f t="shared" ca="1" si="65"/>
        <v>64</v>
      </c>
    </row>
    <row r="337" spans="1:11" x14ac:dyDescent="0.3">
      <c r="A337" s="1">
        <f t="shared" ca="1" si="55"/>
        <v>45077</v>
      </c>
      <c r="B337" t="str">
        <f t="shared" si="56"/>
        <v>V0336</v>
      </c>
      <c r="C337" t="str">
        <f t="shared" ca="1" si="57"/>
        <v>Female</v>
      </c>
      <c r="D337">
        <f t="shared" ca="1" si="58"/>
        <v>77</v>
      </c>
      <c r="E337" t="str">
        <f t="shared" ca="1" si="59"/>
        <v>Asian</v>
      </c>
      <c r="F337" t="str">
        <f t="shared" ca="1" si="60"/>
        <v>AM</v>
      </c>
      <c r="G337" t="str">
        <f t="shared" ca="1" si="61"/>
        <v>Weekday</v>
      </c>
      <c r="H337" t="str">
        <f t="shared" ca="1" si="62"/>
        <v>Non-Patient</v>
      </c>
      <c r="I337" t="str">
        <f t="shared" ca="1" si="63"/>
        <v>Neurology</v>
      </c>
      <c r="J337">
        <f t="shared" ca="1" si="64"/>
        <v>2</v>
      </c>
      <c r="K337">
        <f t="shared" ca="1" si="65"/>
        <v>61</v>
      </c>
    </row>
    <row r="338" spans="1:11" x14ac:dyDescent="0.3">
      <c r="A338" s="1">
        <f t="shared" ca="1" si="55"/>
        <v>45245</v>
      </c>
      <c r="B338" t="str">
        <f t="shared" si="56"/>
        <v>V0337</v>
      </c>
      <c r="C338" t="str">
        <f t="shared" ca="1" si="57"/>
        <v>Female</v>
      </c>
      <c r="D338">
        <f t="shared" ca="1" si="58"/>
        <v>20</v>
      </c>
      <c r="E338" t="str">
        <f t="shared" ca="1" si="59"/>
        <v>Pacific Islander</v>
      </c>
      <c r="F338" t="str">
        <f t="shared" ca="1" si="60"/>
        <v>AM</v>
      </c>
      <c r="G338" t="str">
        <f t="shared" ca="1" si="61"/>
        <v>Weekday</v>
      </c>
      <c r="H338" t="str">
        <f t="shared" ca="1" si="62"/>
        <v>Patient</v>
      </c>
      <c r="I338" t="str">
        <f t="shared" ca="1" si="63"/>
        <v>General Practice</v>
      </c>
      <c r="J338">
        <f t="shared" ca="1" si="64"/>
        <v>5</v>
      </c>
      <c r="K338">
        <f t="shared" ca="1" si="65"/>
        <v>25</v>
      </c>
    </row>
    <row r="339" spans="1:11" x14ac:dyDescent="0.3">
      <c r="A339" s="1">
        <f t="shared" ca="1" si="55"/>
        <v>45159</v>
      </c>
      <c r="B339" t="str">
        <f t="shared" si="56"/>
        <v>V0338</v>
      </c>
      <c r="C339" t="str">
        <f t="shared" ca="1" si="57"/>
        <v>Male</v>
      </c>
      <c r="D339">
        <f t="shared" ca="1" si="58"/>
        <v>65</v>
      </c>
      <c r="E339" t="str">
        <f t="shared" ca="1" si="59"/>
        <v>Pacific Islander</v>
      </c>
      <c r="F339" t="str">
        <f t="shared" ca="1" si="60"/>
        <v>AM</v>
      </c>
      <c r="G339" t="str">
        <f t="shared" ca="1" si="61"/>
        <v>Weekday</v>
      </c>
      <c r="H339" t="str">
        <f t="shared" ca="1" si="62"/>
        <v>Non-Patient</v>
      </c>
      <c r="I339" t="str">
        <f t="shared" ca="1" si="63"/>
        <v>General Practice</v>
      </c>
      <c r="J339">
        <f t="shared" ca="1" si="64"/>
        <v>9</v>
      </c>
      <c r="K339">
        <f t="shared" ca="1" si="65"/>
        <v>34</v>
      </c>
    </row>
    <row r="340" spans="1:11" x14ac:dyDescent="0.3">
      <c r="A340" s="1">
        <f t="shared" ca="1" si="55"/>
        <v>44949</v>
      </c>
      <c r="B340" t="str">
        <f t="shared" si="56"/>
        <v>V0339</v>
      </c>
      <c r="C340" t="str">
        <f t="shared" ca="1" si="57"/>
        <v>Male</v>
      </c>
      <c r="D340">
        <f t="shared" ca="1" si="58"/>
        <v>7</v>
      </c>
      <c r="E340" t="str">
        <f t="shared" ca="1" si="59"/>
        <v>White</v>
      </c>
      <c r="F340" t="str">
        <f t="shared" ca="1" si="60"/>
        <v>PM</v>
      </c>
      <c r="G340" t="str">
        <f t="shared" ca="1" si="61"/>
        <v>Weekday</v>
      </c>
      <c r="H340" t="str">
        <f t="shared" ca="1" si="62"/>
        <v>Patient</v>
      </c>
      <c r="I340" t="str">
        <f t="shared" ca="1" si="63"/>
        <v>Cardiology</v>
      </c>
      <c r="J340">
        <f t="shared" ca="1" si="64"/>
        <v>8</v>
      </c>
      <c r="K340">
        <f t="shared" ca="1" si="65"/>
        <v>55</v>
      </c>
    </row>
    <row r="341" spans="1:11" x14ac:dyDescent="0.3">
      <c r="A341" s="1">
        <f t="shared" ca="1" si="55"/>
        <v>44983</v>
      </c>
      <c r="B341" t="str">
        <f t="shared" si="56"/>
        <v>V0340</v>
      </c>
      <c r="C341" t="str">
        <f t="shared" ca="1" si="57"/>
        <v>Male</v>
      </c>
      <c r="D341">
        <f t="shared" ca="1" si="58"/>
        <v>63</v>
      </c>
      <c r="E341" t="str">
        <f t="shared" ca="1" si="59"/>
        <v>White</v>
      </c>
      <c r="F341" t="str">
        <f t="shared" ca="1" si="60"/>
        <v>PM</v>
      </c>
      <c r="G341" t="str">
        <f t="shared" ca="1" si="61"/>
        <v>Weekend</v>
      </c>
      <c r="H341" t="str">
        <f t="shared" ca="1" si="62"/>
        <v>Non-Patient</v>
      </c>
      <c r="I341" t="str">
        <f t="shared" ca="1" si="63"/>
        <v>General Practice</v>
      </c>
      <c r="J341">
        <f t="shared" ca="1" si="64"/>
        <v>6</v>
      </c>
      <c r="K341">
        <f t="shared" ca="1" si="65"/>
        <v>16</v>
      </c>
    </row>
    <row r="342" spans="1:11" x14ac:dyDescent="0.3">
      <c r="A342" s="1">
        <f t="shared" ca="1" si="55"/>
        <v>44967</v>
      </c>
      <c r="B342" t="str">
        <f t="shared" si="56"/>
        <v>V0341</v>
      </c>
      <c r="C342" t="str">
        <f t="shared" ca="1" si="57"/>
        <v>Female</v>
      </c>
      <c r="D342">
        <f t="shared" ca="1" si="58"/>
        <v>82</v>
      </c>
      <c r="E342" t="str">
        <f t="shared" ca="1" si="59"/>
        <v>Asian</v>
      </c>
      <c r="F342" t="str">
        <f t="shared" ca="1" si="60"/>
        <v>PM</v>
      </c>
      <c r="G342" t="str">
        <f t="shared" ca="1" si="61"/>
        <v>Weekday</v>
      </c>
      <c r="H342" t="str">
        <f t="shared" ca="1" si="62"/>
        <v>Non-Patient</v>
      </c>
      <c r="I342" t="str">
        <f t="shared" ca="1" si="63"/>
        <v>General Practice</v>
      </c>
      <c r="J342">
        <f t="shared" ca="1" si="64"/>
        <v>8</v>
      </c>
      <c r="K342">
        <f t="shared" ca="1" si="65"/>
        <v>80</v>
      </c>
    </row>
    <row r="343" spans="1:11" x14ac:dyDescent="0.3">
      <c r="A343" s="1">
        <f t="shared" ca="1" si="55"/>
        <v>45260</v>
      </c>
      <c r="B343" t="str">
        <f t="shared" si="56"/>
        <v>V0342</v>
      </c>
      <c r="C343" t="str">
        <f t="shared" ca="1" si="57"/>
        <v>Female</v>
      </c>
      <c r="D343">
        <f t="shared" ca="1" si="58"/>
        <v>13</v>
      </c>
      <c r="E343" t="str">
        <f t="shared" ca="1" si="59"/>
        <v>African American</v>
      </c>
      <c r="F343" t="str">
        <f t="shared" ca="1" si="60"/>
        <v>PM</v>
      </c>
      <c r="G343" t="str">
        <f t="shared" ca="1" si="61"/>
        <v>Weekday</v>
      </c>
      <c r="H343" t="str">
        <f t="shared" ca="1" si="62"/>
        <v>Patient</v>
      </c>
      <c r="I343" t="str">
        <f t="shared" ca="1" si="63"/>
        <v>Orthopedics</v>
      </c>
      <c r="J343">
        <f t="shared" ca="1" si="64"/>
        <v>8</v>
      </c>
      <c r="K343">
        <f t="shared" ca="1" si="65"/>
        <v>26</v>
      </c>
    </row>
    <row r="344" spans="1:11" x14ac:dyDescent="0.3">
      <c r="A344" s="1">
        <f t="shared" ca="1" si="55"/>
        <v>44937</v>
      </c>
      <c r="B344" t="str">
        <f t="shared" si="56"/>
        <v>V0343</v>
      </c>
      <c r="C344" t="str">
        <f t="shared" ca="1" si="57"/>
        <v>Male</v>
      </c>
      <c r="D344">
        <f t="shared" ca="1" si="58"/>
        <v>12</v>
      </c>
      <c r="E344" t="str">
        <f t="shared" ca="1" si="59"/>
        <v>Pacific Islander</v>
      </c>
      <c r="F344" t="str">
        <f t="shared" ca="1" si="60"/>
        <v>AM</v>
      </c>
      <c r="G344" t="str">
        <f t="shared" ca="1" si="61"/>
        <v>Weekday</v>
      </c>
      <c r="H344" t="str">
        <f t="shared" ca="1" si="62"/>
        <v>Patient</v>
      </c>
      <c r="I344" t="str">
        <f t="shared" ca="1" si="63"/>
        <v>General Practice</v>
      </c>
      <c r="J344">
        <f t="shared" ca="1" si="64"/>
        <v>7</v>
      </c>
      <c r="K344">
        <f t="shared" ca="1" si="65"/>
        <v>62</v>
      </c>
    </row>
    <row r="345" spans="1:11" x14ac:dyDescent="0.3">
      <c r="A345" s="1">
        <f t="shared" ca="1" si="55"/>
        <v>45045</v>
      </c>
      <c r="B345" t="str">
        <f t="shared" si="56"/>
        <v>V0344</v>
      </c>
      <c r="C345" t="str">
        <f t="shared" ca="1" si="57"/>
        <v>Male</v>
      </c>
      <c r="D345">
        <f t="shared" ca="1" si="58"/>
        <v>41</v>
      </c>
      <c r="E345" t="str">
        <f t="shared" ca="1" si="59"/>
        <v>White</v>
      </c>
      <c r="F345" t="str">
        <f t="shared" ca="1" si="60"/>
        <v>AM</v>
      </c>
      <c r="G345" t="str">
        <f t="shared" ca="1" si="61"/>
        <v>Weekend</v>
      </c>
      <c r="H345" t="str">
        <f t="shared" ca="1" si="62"/>
        <v>Patient</v>
      </c>
      <c r="I345" t="str">
        <f t="shared" ca="1" si="63"/>
        <v>Neurology</v>
      </c>
      <c r="J345">
        <f t="shared" ca="1" si="64"/>
        <v>9</v>
      </c>
      <c r="K345">
        <f t="shared" ca="1" si="65"/>
        <v>49</v>
      </c>
    </row>
    <row r="346" spans="1:11" x14ac:dyDescent="0.3">
      <c r="A346" s="1">
        <f t="shared" ca="1" si="55"/>
        <v>45001</v>
      </c>
      <c r="B346" t="str">
        <f t="shared" si="56"/>
        <v>V0345</v>
      </c>
      <c r="C346" t="str">
        <f t="shared" ca="1" si="57"/>
        <v>Male</v>
      </c>
      <c r="D346">
        <f t="shared" ca="1" si="58"/>
        <v>30</v>
      </c>
      <c r="E346" t="str">
        <f t="shared" ca="1" si="59"/>
        <v>Asian</v>
      </c>
      <c r="F346" t="str">
        <f t="shared" ca="1" si="60"/>
        <v>PM</v>
      </c>
      <c r="G346" t="str">
        <f t="shared" ca="1" si="61"/>
        <v>Weekday</v>
      </c>
      <c r="H346" t="str">
        <f t="shared" ca="1" si="62"/>
        <v>Non-Patient</v>
      </c>
      <c r="I346" t="str">
        <f t="shared" ca="1" si="63"/>
        <v>General Practice</v>
      </c>
      <c r="J346">
        <f t="shared" ca="1" si="64"/>
        <v>4</v>
      </c>
      <c r="K346">
        <f t="shared" ca="1" si="65"/>
        <v>47</v>
      </c>
    </row>
    <row r="347" spans="1:11" x14ac:dyDescent="0.3">
      <c r="A347" s="1">
        <f t="shared" ca="1" si="55"/>
        <v>45065</v>
      </c>
      <c r="B347" t="str">
        <f t="shared" si="56"/>
        <v>V0346</v>
      </c>
      <c r="C347" t="str">
        <f t="shared" ca="1" si="57"/>
        <v>Female</v>
      </c>
      <c r="D347">
        <f t="shared" ca="1" si="58"/>
        <v>24</v>
      </c>
      <c r="E347" t="str">
        <f t="shared" ca="1" si="59"/>
        <v>Pacific Islander</v>
      </c>
      <c r="F347" t="str">
        <f t="shared" ca="1" si="60"/>
        <v>AM</v>
      </c>
      <c r="G347" t="str">
        <f t="shared" ca="1" si="61"/>
        <v>Weekday</v>
      </c>
      <c r="H347" t="str">
        <f t="shared" ca="1" si="62"/>
        <v>Non-Patient</v>
      </c>
      <c r="I347" t="str">
        <f t="shared" ca="1" si="63"/>
        <v>Cardiology</v>
      </c>
      <c r="J347">
        <f t="shared" ca="1" si="64"/>
        <v>2</v>
      </c>
      <c r="K347">
        <f t="shared" ca="1" si="65"/>
        <v>51</v>
      </c>
    </row>
    <row r="348" spans="1:11" x14ac:dyDescent="0.3">
      <c r="A348" s="1">
        <f t="shared" ca="1" si="55"/>
        <v>45063</v>
      </c>
      <c r="B348" t="str">
        <f t="shared" si="56"/>
        <v>V0347</v>
      </c>
      <c r="C348" t="str">
        <f t="shared" ca="1" si="57"/>
        <v>Female</v>
      </c>
      <c r="D348">
        <f t="shared" ca="1" si="58"/>
        <v>84</v>
      </c>
      <c r="E348" t="str">
        <f t="shared" ca="1" si="59"/>
        <v>Asian</v>
      </c>
      <c r="F348" t="str">
        <f t="shared" ca="1" si="60"/>
        <v>AM</v>
      </c>
      <c r="G348" t="str">
        <f t="shared" ca="1" si="61"/>
        <v>Weekday</v>
      </c>
      <c r="H348" t="str">
        <f t="shared" ca="1" si="62"/>
        <v>Non-Patient</v>
      </c>
      <c r="I348" t="str">
        <f t="shared" ca="1" si="63"/>
        <v>General Practice</v>
      </c>
      <c r="J348">
        <f t="shared" ca="1" si="64"/>
        <v>9</v>
      </c>
      <c r="K348">
        <f t="shared" ca="1" si="65"/>
        <v>22</v>
      </c>
    </row>
    <row r="349" spans="1:11" x14ac:dyDescent="0.3">
      <c r="A349" s="1">
        <f t="shared" ca="1" si="55"/>
        <v>45003</v>
      </c>
      <c r="B349" t="str">
        <f t="shared" si="56"/>
        <v>V0348</v>
      </c>
      <c r="C349" t="str">
        <f t="shared" ca="1" si="57"/>
        <v>Male</v>
      </c>
      <c r="D349">
        <f t="shared" ca="1" si="58"/>
        <v>55</v>
      </c>
      <c r="E349" t="str">
        <f t="shared" ca="1" si="59"/>
        <v>Asian</v>
      </c>
      <c r="F349" t="str">
        <f t="shared" ca="1" si="60"/>
        <v>AM</v>
      </c>
      <c r="G349" t="str">
        <f t="shared" ca="1" si="61"/>
        <v>Weekend</v>
      </c>
      <c r="H349" t="str">
        <f t="shared" ca="1" si="62"/>
        <v>Patient</v>
      </c>
      <c r="I349" t="str">
        <f t="shared" ca="1" si="63"/>
        <v>General Practice</v>
      </c>
      <c r="J349">
        <f t="shared" ca="1" si="64"/>
        <v>6</v>
      </c>
      <c r="K349">
        <f t="shared" ca="1" si="65"/>
        <v>38</v>
      </c>
    </row>
    <row r="350" spans="1:11" x14ac:dyDescent="0.3">
      <c r="A350" s="1">
        <f t="shared" ca="1" si="55"/>
        <v>45193</v>
      </c>
      <c r="B350" t="str">
        <f t="shared" si="56"/>
        <v>V0349</v>
      </c>
      <c r="C350" t="str">
        <f t="shared" ca="1" si="57"/>
        <v>Male</v>
      </c>
      <c r="D350">
        <f t="shared" ca="1" si="58"/>
        <v>7</v>
      </c>
      <c r="E350" t="str">
        <f t="shared" ca="1" si="59"/>
        <v>Asian</v>
      </c>
      <c r="F350" t="str">
        <f t="shared" ca="1" si="60"/>
        <v>PM</v>
      </c>
      <c r="G350" t="str">
        <f t="shared" ca="1" si="61"/>
        <v>Weekend</v>
      </c>
      <c r="H350" t="str">
        <f t="shared" ca="1" si="62"/>
        <v>Patient</v>
      </c>
      <c r="I350" t="str">
        <f t="shared" ca="1" si="63"/>
        <v>Physiotherapy</v>
      </c>
      <c r="J350">
        <f t="shared" ca="1" si="64"/>
        <v>3</v>
      </c>
      <c r="K350">
        <f t="shared" ca="1" si="65"/>
        <v>56</v>
      </c>
    </row>
    <row r="351" spans="1:11" x14ac:dyDescent="0.3">
      <c r="A351" s="1">
        <f t="shared" ca="1" si="55"/>
        <v>44970</v>
      </c>
      <c r="B351" t="str">
        <f t="shared" si="56"/>
        <v>V0350</v>
      </c>
      <c r="C351" t="str">
        <f t="shared" ca="1" si="57"/>
        <v>Male</v>
      </c>
      <c r="D351">
        <f t="shared" ca="1" si="58"/>
        <v>21</v>
      </c>
      <c r="E351" t="str">
        <f t="shared" ca="1" si="59"/>
        <v>Asian</v>
      </c>
      <c r="F351" t="str">
        <f t="shared" ca="1" si="60"/>
        <v>PM</v>
      </c>
      <c r="G351" t="str">
        <f t="shared" ca="1" si="61"/>
        <v>Weekday</v>
      </c>
      <c r="H351" t="str">
        <f t="shared" ca="1" si="62"/>
        <v>Patient</v>
      </c>
      <c r="I351" t="str">
        <f t="shared" ca="1" si="63"/>
        <v>Neurology</v>
      </c>
      <c r="J351">
        <f t="shared" ca="1" si="64"/>
        <v>7</v>
      </c>
      <c r="K351">
        <f t="shared" ca="1" si="65"/>
        <v>17</v>
      </c>
    </row>
    <row r="352" spans="1:11" x14ac:dyDescent="0.3">
      <c r="A352" s="1">
        <f t="shared" ca="1" si="55"/>
        <v>45198</v>
      </c>
      <c r="B352" t="str">
        <f t="shared" si="56"/>
        <v>V0351</v>
      </c>
      <c r="C352" t="str">
        <f t="shared" ca="1" si="57"/>
        <v>Female</v>
      </c>
      <c r="D352">
        <f t="shared" ca="1" si="58"/>
        <v>53</v>
      </c>
      <c r="E352" t="str">
        <f t="shared" ca="1" si="59"/>
        <v>Pacific Islander</v>
      </c>
      <c r="F352" t="str">
        <f t="shared" ca="1" si="60"/>
        <v>PM</v>
      </c>
      <c r="G352" t="str">
        <f t="shared" ca="1" si="61"/>
        <v>Weekday</v>
      </c>
      <c r="H352" t="str">
        <f t="shared" ca="1" si="62"/>
        <v>Patient</v>
      </c>
      <c r="I352" t="str">
        <f t="shared" ca="1" si="63"/>
        <v>General Practice</v>
      </c>
      <c r="J352">
        <f t="shared" ca="1" si="64"/>
        <v>9</v>
      </c>
      <c r="K352">
        <f t="shared" ca="1" si="65"/>
        <v>32</v>
      </c>
    </row>
    <row r="353" spans="1:11" x14ac:dyDescent="0.3">
      <c r="A353" s="1">
        <f t="shared" ca="1" si="55"/>
        <v>45106</v>
      </c>
      <c r="B353" t="str">
        <f t="shared" si="56"/>
        <v>V0352</v>
      </c>
      <c r="C353" t="str">
        <f t="shared" ca="1" si="57"/>
        <v>Female</v>
      </c>
      <c r="D353">
        <f t="shared" ca="1" si="58"/>
        <v>77</v>
      </c>
      <c r="E353" t="str">
        <f t="shared" ca="1" si="59"/>
        <v>Pacific Islander</v>
      </c>
      <c r="F353" t="str">
        <f t="shared" ca="1" si="60"/>
        <v>PM</v>
      </c>
      <c r="G353" t="str">
        <f t="shared" ca="1" si="61"/>
        <v>Weekday</v>
      </c>
      <c r="H353" t="str">
        <f t="shared" ca="1" si="62"/>
        <v>Patient</v>
      </c>
      <c r="I353" t="str">
        <f t="shared" ca="1" si="63"/>
        <v>Orthopedics</v>
      </c>
      <c r="J353">
        <f t="shared" ca="1" si="64"/>
        <v>2</v>
      </c>
      <c r="K353">
        <f t="shared" ca="1" si="65"/>
        <v>87</v>
      </c>
    </row>
    <row r="354" spans="1:11" x14ac:dyDescent="0.3">
      <c r="A354" s="1">
        <f t="shared" ca="1" si="55"/>
        <v>45158</v>
      </c>
      <c r="B354" t="str">
        <f t="shared" si="56"/>
        <v>V0353</v>
      </c>
      <c r="C354" t="str">
        <f t="shared" ca="1" si="57"/>
        <v>Female</v>
      </c>
      <c r="D354">
        <f t="shared" ca="1" si="58"/>
        <v>48</v>
      </c>
      <c r="E354" t="str">
        <f t="shared" ca="1" si="59"/>
        <v>Asian</v>
      </c>
      <c r="F354" t="str">
        <f t="shared" ca="1" si="60"/>
        <v>AM</v>
      </c>
      <c r="G354" t="str">
        <f t="shared" ca="1" si="61"/>
        <v>Weekend</v>
      </c>
      <c r="H354" t="str">
        <f t="shared" ca="1" si="62"/>
        <v>Non-Patient</v>
      </c>
      <c r="I354" t="str">
        <f t="shared" ca="1" si="63"/>
        <v>Cardiology</v>
      </c>
      <c r="J354">
        <f t="shared" ca="1" si="64"/>
        <v>7</v>
      </c>
      <c r="K354">
        <f t="shared" ca="1" si="65"/>
        <v>27</v>
      </c>
    </row>
    <row r="355" spans="1:11" x14ac:dyDescent="0.3">
      <c r="A355" s="1">
        <f t="shared" ca="1" si="55"/>
        <v>44981</v>
      </c>
      <c r="B355" t="str">
        <f t="shared" si="56"/>
        <v>V0354</v>
      </c>
      <c r="C355" t="str">
        <f t="shared" ca="1" si="57"/>
        <v>Female</v>
      </c>
      <c r="D355">
        <f t="shared" ca="1" si="58"/>
        <v>59</v>
      </c>
      <c r="E355" t="str">
        <f t="shared" ca="1" si="59"/>
        <v>Asian</v>
      </c>
      <c r="F355" t="str">
        <f t="shared" ca="1" si="60"/>
        <v>AM</v>
      </c>
      <c r="G355" t="str">
        <f t="shared" ca="1" si="61"/>
        <v>Weekday</v>
      </c>
      <c r="H355" t="str">
        <f t="shared" ca="1" si="62"/>
        <v>Non-Patient</v>
      </c>
      <c r="I355" t="str">
        <f t="shared" ca="1" si="63"/>
        <v>General Practice</v>
      </c>
      <c r="J355">
        <f t="shared" ca="1" si="64"/>
        <v>2</v>
      </c>
      <c r="K355">
        <f t="shared" ca="1" si="65"/>
        <v>45</v>
      </c>
    </row>
    <row r="356" spans="1:11" x14ac:dyDescent="0.3">
      <c r="A356" s="1">
        <f t="shared" ca="1" si="55"/>
        <v>45291</v>
      </c>
      <c r="B356" t="str">
        <f t="shared" si="56"/>
        <v>V0355</v>
      </c>
      <c r="C356" t="str">
        <f t="shared" ca="1" si="57"/>
        <v>Male</v>
      </c>
      <c r="D356">
        <f t="shared" ca="1" si="58"/>
        <v>10</v>
      </c>
      <c r="E356" t="str">
        <f t="shared" ca="1" si="59"/>
        <v>Asian</v>
      </c>
      <c r="F356" t="str">
        <f t="shared" ca="1" si="60"/>
        <v>AM</v>
      </c>
      <c r="G356" t="str">
        <f t="shared" ca="1" si="61"/>
        <v>Weekend</v>
      </c>
      <c r="H356" t="str">
        <f t="shared" ca="1" si="62"/>
        <v>Non-Patient</v>
      </c>
      <c r="I356" t="str">
        <f t="shared" ca="1" si="63"/>
        <v>Physiotherapy</v>
      </c>
      <c r="J356">
        <f t="shared" ca="1" si="64"/>
        <v>10</v>
      </c>
      <c r="K356">
        <f t="shared" ca="1" si="65"/>
        <v>20</v>
      </c>
    </row>
    <row r="357" spans="1:11" x14ac:dyDescent="0.3">
      <c r="A357" s="1">
        <f t="shared" ca="1" si="55"/>
        <v>45253</v>
      </c>
      <c r="B357" t="str">
        <f t="shared" si="56"/>
        <v>V0356</v>
      </c>
      <c r="C357" t="str">
        <f t="shared" ca="1" si="57"/>
        <v>Female</v>
      </c>
      <c r="D357">
        <f t="shared" ca="1" si="58"/>
        <v>18</v>
      </c>
      <c r="E357" t="str">
        <f t="shared" ca="1" si="59"/>
        <v>White</v>
      </c>
      <c r="F357" t="str">
        <f t="shared" ca="1" si="60"/>
        <v>PM</v>
      </c>
      <c r="G357" t="str">
        <f t="shared" ca="1" si="61"/>
        <v>Weekday</v>
      </c>
      <c r="H357" t="str">
        <f t="shared" ca="1" si="62"/>
        <v>Patient</v>
      </c>
      <c r="I357" t="str">
        <f t="shared" ca="1" si="63"/>
        <v>Neurology</v>
      </c>
      <c r="J357">
        <f t="shared" ca="1" si="64"/>
        <v>8</v>
      </c>
      <c r="K357">
        <f t="shared" ca="1" si="65"/>
        <v>44</v>
      </c>
    </row>
    <row r="358" spans="1:11" x14ac:dyDescent="0.3">
      <c r="A358" s="1">
        <f t="shared" ca="1" si="55"/>
        <v>45250</v>
      </c>
      <c r="B358" t="str">
        <f t="shared" si="56"/>
        <v>V0357</v>
      </c>
      <c r="C358" t="str">
        <f t="shared" ca="1" si="57"/>
        <v>Female</v>
      </c>
      <c r="D358">
        <f t="shared" ca="1" si="58"/>
        <v>75</v>
      </c>
      <c r="E358" t="str">
        <f t="shared" ca="1" si="59"/>
        <v>African American</v>
      </c>
      <c r="F358" t="str">
        <f t="shared" ca="1" si="60"/>
        <v>PM</v>
      </c>
      <c r="G358" t="str">
        <f t="shared" ca="1" si="61"/>
        <v>Weekday</v>
      </c>
      <c r="H358" t="str">
        <f t="shared" ca="1" si="62"/>
        <v>Non-Patient</v>
      </c>
      <c r="I358" t="str">
        <f t="shared" ca="1" si="63"/>
        <v>Cardiology</v>
      </c>
      <c r="J358">
        <f t="shared" ca="1" si="64"/>
        <v>8</v>
      </c>
      <c r="K358">
        <f t="shared" ca="1" si="65"/>
        <v>75</v>
      </c>
    </row>
    <row r="359" spans="1:11" x14ac:dyDescent="0.3">
      <c r="A359" s="1">
        <f t="shared" ca="1" si="55"/>
        <v>45193</v>
      </c>
      <c r="B359" t="str">
        <f t="shared" si="56"/>
        <v>V0358</v>
      </c>
      <c r="C359" t="str">
        <f t="shared" ca="1" si="57"/>
        <v>Male</v>
      </c>
      <c r="D359">
        <f t="shared" ca="1" si="58"/>
        <v>41</v>
      </c>
      <c r="E359" t="str">
        <f t="shared" ca="1" si="59"/>
        <v>Native American</v>
      </c>
      <c r="F359" t="str">
        <f t="shared" ca="1" si="60"/>
        <v>PM</v>
      </c>
      <c r="G359" t="str">
        <f t="shared" ca="1" si="61"/>
        <v>Weekend</v>
      </c>
      <c r="H359" t="str">
        <f t="shared" ca="1" si="62"/>
        <v>Non-Patient</v>
      </c>
      <c r="I359" t="str">
        <f t="shared" ca="1" si="63"/>
        <v>Cardiology</v>
      </c>
      <c r="J359">
        <f t="shared" ca="1" si="64"/>
        <v>6</v>
      </c>
      <c r="K359">
        <f t="shared" ca="1" si="65"/>
        <v>25</v>
      </c>
    </row>
    <row r="360" spans="1:11" x14ac:dyDescent="0.3">
      <c r="A360" s="1">
        <f t="shared" ca="1" si="55"/>
        <v>45037</v>
      </c>
      <c r="B360" t="str">
        <f t="shared" si="56"/>
        <v>V0359</v>
      </c>
      <c r="C360" t="str">
        <f t="shared" ca="1" si="57"/>
        <v>Female</v>
      </c>
      <c r="D360">
        <f t="shared" ca="1" si="58"/>
        <v>58</v>
      </c>
      <c r="E360" t="str">
        <f t="shared" ca="1" si="59"/>
        <v>Native American</v>
      </c>
      <c r="F360" t="str">
        <f t="shared" ca="1" si="60"/>
        <v>PM</v>
      </c>
      <c r="G360" t="str">
        <f t="shared" ca="1" si="61"/>
        <v>Weekday</v>
      </c>
      <c r="H360" t="str">
        <f t="shared" ca="1" si="62"/>
        <v>Patient</v>
      </c>
      <c r="I360" t="str">
        <f t="shared" ca="1" si="63"/>
        <v>General Practice</v>
      </c>
      <c r="J360">
        <f t="shared" ca="1" si="64"/>
        <v>5</v>
      </c>
      <c r="K360">
        <f t="shared" ca="1" si="65"/>
        <v>21</v>
      </c>
    </row>
    <row r="361" spans="1:11" x14ac:dyDescent="0.3">
      <c r="A361" s="1">
        <f t="shared" ca="1" si="55"/>
        <v>45279</v>
      </c>
      <c r="B361" t="str">
        <f t="shared" si="56"/>
        <v>V0360</v>
      </c>
      <c r="C361" t="str">
        <f t="shared" ca="1" si="57"/>
        <v>Female</v>
      </c>
      <c r="D361">
        <f t="shared" ca="1" si="58"/>
        <v>50</v>
      </c>
      <c r="E361" t="str">
        <f t="shared" ca="1" si="59"/>
        <v>African American</v>
      </c>
      <c r="F361" t="str">
        <f t="shared" ca="1" si="60"/>
        <v>AM</v>
      </c>
      <c r="G361" t="str">
        <f t="shared" ca="1" si="61"/>
        <v>Weekday</v>
      </c>
      <c r="H361" t="str">
        <f t="shared" ca="1" si="62"/>
        <v>Non-Patient</v>
      </c>
      <c r="I361" t="str">
        <f t="shared" ca="1" si="63"/>
        <v>Physiotherapy</v>
      </c>
      <c r="J361">
        <f t="shared" ca="1" si="64"/>
        <v>5</v>
      </c>
      <c r="K361">
        <f t="shared" ca="1" si="65"/>
        <v>13</v>
      </c>
    </row>
    <row r="362" spans="1:11" x14ac:dyDescent="0.3">
      <c r="A362" s="1">
        <f t="shared" ca="1" si="55"/>
        <v>45223</v>
      </c>
      <c r="B362" t="str">
        <f t="shared" si="56"/>
        <v>V0361</v>
      </c>
      <c r="C362" t="str">
        <f t="shared" ca="1" si="57"/>
        <v>Female</v>
      </c>
      <c r="D362">
        <f t="shared" ca="1" si="58"/>
        <v>22</v>
      </c>
      <c r="E362" t="str">
        <f t="shared" ca="1" si="59"/>
        <v>Native American</v>
      </c>
      <c r="F362" t="str">
        <f t="shared" ca="1" si="60"/>
        <v>PM</v>
      </c>
      <c r="G362" t="str">
        <f t="shared" ca="1" si="61"/>
        <v>Weekday</v>
      </c>
      <c r="H362" t="str">
        <f t="shared" ca="1" si="62"/>
        <v>Non-Patient</v>
      </c>
      <c r="I362" t="str">
        <f t="shared" ca="1" si="63"/>
        <v>General Practice</v>
      </c>
      <c r="J362">
        <f t="shared" ca="1" si="64"/>
        <v>7</v>
      </c>
      <c r="K362">
        <f t="shared" ca="1" si="65"/>
        <v>60</v>
      </c>
    </row>
    <row r="363" spans="1:11" x14ac:dyDescent="0.3">
      <c r="A363" s="1">
        <f t="shared" ca="1" si="55"/>
        <v>44933</v>
      </c>
      <c r="B363" t="str">
        <f t="shared" si="56"/>
        <v>V0362</v>
      </c>
      <c r="C363" t="str">
        <f t="shared" ca="1" si="57"/>
        <v>Female</v>
      </c>
      <c r="D363">
        <f t="shared" ca="1" si="58"/>
        <v>12</v>
      </c>
      <c r="E363" t="str">
        <f t="shared" ca="1" si="59"/>
        <v>Asian</v>
      </c>
      <c r="F363" t="str">
        <f t="shared" ca="1" si="60"/>
        <v>PM</v>
      </c>
      <c r="G363" t="str">
        <f t="shared" ca="1" si="61"/>
        <v>Weekend</v>
      </c>
      <c r="H363" t="str">
        <f t="shared" ca="1" si="62"/>
        <v>Patient</v>
      </c>
      <c r="I363" t="str">
        <f t="shared" ca="1" si="63"/>
        <v>Neurology</v>
      </c>
      <c r="J363">
        <f t="shared" ca="1" si="64"/>
        <v>3</v>
      </c>
      <c r="K363">
        <f t="shared" ca="1" si="65"/>
        <v>37</v>
      </c>
    </row>
    <row r="364" spans="1:11" x14ac:dyDescent="0.3">
      <c r="A364" s="1">
        <f t="shared" ca="1" si="55"/>
        <v>45221</v>
      </c>
      <c r="B364" t="str">
        <f t="shared" si="56"/>
        <v>V0363</v>
      </c>
      <c r="C364" t="str">
        <f t="shared" ca="1" si="57"/>
        <v>Female</v>
      </c>
      <c r="D364">
        <f t="shared" ca="1" si="58"/>
        <v>58</v>
      </c>
      <c r="E364" t="str">
        <f t="shared" ca="1" si="59"/>
        <v>Asian</v>
      </c>
      <c r="F364" t="str">
        <f t="shared" ca="1" si="60"/>
        <v>PM</v>
      </c>
      <c r="G364" t="str">
        <f t="shared" ca="1" si="61"/>
        <v>Weekend</v>
      </c>
      <c r="H364" t="str">
        <f t="shared" ca="1" si="62"/>
        <v>Non-Patient</v>
      </c>
      <c r="I364" t="str">
        <f t="shared" ca="1" si="63"/>
        <v>Cardiology</v>
      </c>
      <c r="J364">
        <f t="shared" ca="1" si="64"/>
        <v>2</v>
      </c>
      <c r="K364">
        <f t="shared" ca="1" si="65"/>
        <v>20</v>
      </c>
    </row>
    <row r="365" spans="1:11" x14ac:dyDescent="0.3">
      <c r="A365" s="1">
        <f t="shared" ca="1" si="55"/>
        <v>45102</v>
      </c>
      <c r="B365" t="str">
        <f t="shared" si="56"/>
        <v>V0364</v>
      </c>
      <c r="C365" t="str">
        <f t="shared" ca="1" si="57"/>
        <v>Female</v>
      </c>
      <c r="D365">
        <f t="shared" ca="1" si="58"/>
        <v>54</v>
      </c>
      <c r="E365" t="str">
        <f t="shared" ca="1" si="59"/>
        <v>White</v>
      </c>
      <c r="F365" t="str">
        <f t="shared" ca="1" si="60"/>
        <v>PM</v>
      </c>
      <c r="G365" t="str">
        <f t="shared" ca="1" si="61"/>
        <v>Weekend</v>
      </c>
      <c r="H365" t="str">
        <f t="shared" ca="1" si="62"/>
        <v>Patient</v>
      </c>
      <c r="I365" t="str">
        <f t="shared" ca="1" si="63"/>
        <v>General Practice</v>
      </c>
      <c r="J365">
        <f t="shared" ca="1" si="64"/>
        <v>9</v>
      </c>
      <c r="K365">
        <f t="shared" ca="1" si="65"/>
        <v>16</v>
      </c>
    </row>
    <row r="366" spans="1:11" x14ac:dyDescent="0.3">
      <c r="A366" s="1">
        <f t="shared" ca="1" si="55"/>
        <v>45080</v>
      </c>
      <c r="B366" t="str">
        <f t="shared" si="56"/>
        <v>V0365</v>
      </c>
      <c r="C366" t="str">
        <f t="shared" ca="1" si="57"/>
        <v>Male</v>
      </c>
      <c r="D366">
        <f t="shared" ca="1" si="58"/>
        <v>56</v>
      </c>
      <c r="E366" t="str">
        <f t="shared" ca="1" si="59"/>
        <v>Asian</v>
      </c>
      <c r="F366" t="str">
        <f t="shared" ca="1" si="60"/>
        <v>AM</v>
      </c>
      <c r="G366" t="str">
        <f t="shared" ca="1" si="61"/>
        <v>Weekend</v>
      </c>
      <c r="H366" t="str">
        <f t="shared" ca="1" si="62"/>
        <v>Non-Patient</v>
      </c>
      <c r="I366" t="str">
        <f t="shared" ca="1" si="63"/>
        <v>Physiotherapy</v>
      </c>
      <c r="J366">
        <f t="shared" ca="1" si="64"/>
        <v>6</v>
      </c>
      <c r="K366">
        <f t="shared" ca="1" si="65"/>
        <v>13</v>
      </c>
    </row>
    <row r="367" spans="1:11" x14ac:dyDescent="0.3">
      <c r="A367" s="1">
        <f t="shared" ca="1" si="55"/>
        <v>45007</v>
      </c>
      <c r="B367" t="str">
        <f t="shared" si="56"/>
        <v>V0366</v>
      </c>
      <c r="C367" t="str">
        <f t="shared" ca="1" si="57"/>
        <v>Male</v>
      </c>
      <c r="D367">
        <f t="shared" ca="1" si="58"/>
        <v>10</v>
      </c>
      <c r="E367" t="str">
        <f t="shared" ca="1" si="59"/>
        <v>Native American</v>
      </c>
      <c r="F367" t="str">
        <f t="shared" ca="1" si="60"/>
        <v>PM</v>
      </c>
      <c r="G367" t="str">
        <f t="shared" ca="1" si="61"/>
        <v>Weekday</v>
      </c>
      <c r="H367" t="str">
        <f t="shared" ca="1" si="62"/>
        <v>Patient</v>
      </c>
      <c r="I367" t="str">
        <f t="shared" ca="1" si="63"/>
        <v>Cardiology</v>
      </c>
      <c r="J367">
        <f t="shared" ca="1" si="64"/>
        <v>1</v>
      </c>
      <c r="K367">
        <f t="shared" ca="1" si="65"/>
        <v>10</v>
      </c>
    </row>
    <row r="368" spans="1:11" x14ac:dyDescent="0.3">
      <c r="A368" s="1">
        <f t="shared" ca="1" si="55"/>
        <v>45173</v>
      </c>
      <c r="B368" t="str">
        <f t="shared" si="56"/>
        <v>V0367</v>
      </c>
      <c r="C368" t="str">
        <f t="shared" ca="1" si="57"/>
        <v>Female</v>
      </c>
      <c r="D368">
        <f t="shared" ca="1" si="58"/>
        <v>45</v>
      </c>
      <c r="E368" t="str">
        <f t="shared" ca="1" si="59"/>
        <v>Pacific Islander</v>
      </c>
      <c r="F368" t="str">
        <f t="shared" ca="1" si="60"/>
        <v>PM</v>
      </c>
      <c r="G368" t="str">
        <f t="shared" ca="1" si="61"/>
        <v>Weekday</v>
      </c>
      <c r="H368" t="str">
        <f t="shared" ca="1" si="62"/>
        <v>Non-Patient</v>
      </c>
      <c r="I368" t="str">
        <f t="shared" ca="1" si="63"/>
        <v>General Practice</v>
      </c>
      <c r="J368">
        <f t="shared" ca="1" si="64"/>
        <v>9</v>
      </c>
      <c r="K368">
        <f t="shared" ca="1" si="65"/>
        <v>42</v>
      </c>
    </row>
    <row r="369" spans="1:11" x14ac:dyDescent="0.3">
      <c r="A369" s="1">
        <f t="shared" ca="1" si="55"/>
        <v>45063</v>
      </c>
      <c r="B369" t="str">
        <f t="shared" si="56"/>
        <v>V0368</v>
      </c>
      <c r="C369" t="str">
        <f t="shared" ca="1" si="57"/>
        <v>Female</v>
      </c>
      <c r="D369">
        <f t="shared" ca="1" si="58"/>
        <v>54</v>
      </c>
      <c r="E369" t="str">
        <f t="shared" ca="1" si="59"/>
        <v>Asian</v>
      </c>
      <c r="F369" t="str">
        <f t="shared" ca="1" si="60"/>
        <v>PM</v>
      </c>
      <c r="G369" t="str">
        <f t="shared" ca="1" si="61"/>
        <v>Weekday</v>
      </c>
      <c r="H369" t="str">
        <f t="shared" ca="1" si="62"/>
        <v>Patient</v>
      </c>
      <c r="I369" t="str">
        <f t="shared" ca="1" si="63"/>
        <v>Physiotherapy</v>
      </c>
      <c r="J369">
        <f t="shared" ca="1" si="64"/>
        <v>1</v>
      </c>
      <c r="K369">
        <f t="shared" ca="1" si="65"/>
        <v>71</v>
      </c>
    </row>
    <row r="370" spans="1:11" x14ac:dyDescent="0.3">
      <c r="A370" s="1">
        <f t="shared" ca="1" si="55"/>
        <v>45127</v>
      </c>
      <c r="B370" t="str">
        <f t="shared" si="56"/>
        <v>V0369</v>
      </c>
      <c r="C370" t="str">
        <f t="shared" ca="1" si="57"/>
        <v>Male</v>
      </c>
      <c r="D370">
        <f t="shared" ca="1" si="58"/>
        <v>75</v>
      </c>
      <c r="E370" t="str">
        <f t="shared" ca="1" si="59"/>
        <v>Asian</v>
      </c>
      <c r="F370" t="str">
        <f t="shared" ca="1" si="60"/>
        <v>PM</v>
      </c>
      <c r="G370" t="str">
        <f t="shared" ca="1" si="61"/>
        <v>Weekday</v>
      </c>
      <c r="H370" t="str">
        <f t="shared" ca="1" si="62"/>
        <v>Patient</v>
      </c>
      <c r="I370" t="str">
        <f t="shared" ca="1" si="63"/>
        <v>General Practice</v>
      </c>
      <c r="J370">
        <f t="shared" ca="1" si="64"/>
        <v>5</v>
      </c>
      <c r="K370">
        <f t="shared" ca="1" si="65"/>
        <v>51</v>
      </c>
    </row>
    <row r="371" spans="1:11" x14ac:dyDescent="0.3">
      <c r="A371" s="1">
        <f t="shared" ca="1" si="55"/>
        <v>44947</v>
      </c>
      <c r="B371" t="str">
        <f t="shared" si="56"/>
        <v>V0370</v>
      </c>
      <c r="C371" t="str">
        <f t="shared" ca="1" si="57"/>
        <v>Female</v>
      </c>
      <c r="D371">
        <f t="shared" ca="1" si="58"/>
        <v>18</v>
      </c>
      <c r="E371" t="str">
        <f t="shared" ca="1" si="59"/>
        <v>Pacific Islander</v>
      </c>
      <c r="F371" t="str">
        <f t="shared" ca="1" si="60"/>
        <v>PM</v>
      </c>
      <c r="G371" t="str">
        <f t="shared" ca="1" si="61"/>
        <v>Weekend</v>
      </c>
      <c r="H371" t="str">
        <f t="shared" ca="1" si="62"/>
        <v>Non-Patient</v>
      </c>
      <c r="I371" t="str">
        <f t="shared" ca="1" si="63"/>
        <v>Physiotherapy</v>
      </c>
      <c r="J371">
        <f t="shared" ca="1" si="64"/>
        <v>10</v>
      </c>
      <c r="K371">
        <f t="shared" ca="1" si="65"/>
        <v>52</v>
      </c>
    </row>
    <row r="372" spans="1:11" x14ac:dyDescent="0.3">
      <c r="A372" s="1">
        <f t="shared" ca="1" si="55"/>
        <v>44952</v>
      </c>
      <c r="B372" t="str">
        <f t="shared" si="56"/>
        <v>V0371</v>
      </c>
      <c r="C372" t="str">
        <f t="shared" ca="1" si="57"/>
        <v>Male</v>
      </c>
      <c r="D372">
        <f t="shared" ca="1" si="58"/>
        <v>81</v>
      </c>
      <c r="E372" t="str">
        <f t="shared" ca="1" si="59"/>
        <v>Pacific Islander</v>
      </c>
      <c r="F372" t="str">
        <f t="shared" ca="1" si="60"/>
        <v>AM</v>
      </c>
      <c r="G372" t="str">
        <f t="shared" ca="1" si="61"/>
        <v>Weekday</v>
      </c>
      <c r="H372" t="str">
        <f t="shared" ca="1" si="62"/>
        <v>Patient</v>
      </c>
      <c r="I372" t="str">
        <f t="shared" ca="1" si="63"/>
        <v>Orthopedics</v>
      </c>
      <c r="J372">
        <f t="shared" ca="1" si="64"/>
        <v>8</v>
      </c>
      <c r="K372">
        <f t="shared" ca="1" si="65"/>
        <v>37</v>
      </c>
    </row>
    <row r="373" spans="1:11" x14ac:dyDescent="0.3">
      <c r="A373" s="1">
        <f t="shared" ca="1" si="55"/>
        <v>44930</v>
      </c>
      <c r="B373" t="str">
        <f t="shared" si="56"/>
        <v>V0372</v>
      </c>
      <c r="C373" t="str">
        <f t="shared" ca="1" si="57"/>
        <v>Female</v>
      </c>
      <c r="D373">
        <f t="shared" ca="1" si="58"/>
        <v>71</v>
      </c>
      <c r="E373" t="str">
        <f t="shared" ca="1" si="59"/>
        <v>White</v>
      </c>
      <c r="F373" t="str">
        <f t="shared" ca="1" si="60"/>
        <v>PM</v>
      </c>
      <c r="G373" t="str">
        <f t="shared" ca="1" si="61"/>
        <v>Weekday</v>
      </c>
      <c r="H373" t="str">
        <f t="shared" ca="1" si="62"/>
        <v>Patient</v>
      </c>
      <c r="I373" t="str">
        <f t="shared" ca="1" si="63"/>
        <v>Physiotherapy</v>
      </c>
      <c r="J373">
        <f t="shared" ca="1" si="64"/>
        <v>9</v>
      </c>
      <c r="K373">
        <f t="shared" ca="1" si="65"/>
        <v>43</v>
      </c>
    </row>
    <row r="374" spans="1:11" x14ac:dyDescent="0.3">
      <c r="A374" s="1">
        <f t="shared" ca="1" si="55"/>
        <v>45231</v>
      </c>
      <c r="B374" t="str">
        <f t="shared" si="56"/>
        <v>V0373</v>
      </c>
      <c r="C374" t="str">
        <f t="shared" ca="1" si="57"/>
        <v>Female</v>
      </c>
      <c r="D374">
        <f t="shared" ca="1" si="58"/>
        <v>50</v>
      </c>
      <c r="E374" t="str">
        <f t="shared" ca="1" si="59"/>
        <v>White</v>
      </c>
      <c r="F374" t="str">
        <f t="shared" ca="1" si="60"/>
        <v>PM</v>
      </c>
      <c r="G374" t="str">
        <f t="shared" ca="1" si="61"/>
        <v>Weekday</v>
      </c>
      <c r="H374" t="str">
        <f t="shared" ca="1" si="62"/>
        <v>Non-Patient</v>
      </c>
      <c r="I374" t="str">
        <f t="shared" ca="1" si="63"/>
        <v>Orthopedics</v>
      </c>
      <c r="J374">
        <f t="shared" ca="1" si="64"/>
        <v>2</v>
      </c>
      <c r="K374">
        <f t="shared" ca="1" si="65"/>
        <v>79</v>
      </c>
    </row>
    <row r="375" spans="1:11" x14ac:dyDescent="0.3">
      <c r="A375" s="1">
        <f t="shared" ca="1" si="55"/>
        <v>45044</v>
      </c>
      <c r="B375" t="str">
        <f t="shared" si="56"/>
        <v>V0374</v>
      </c>
      <c r="C375" t="str">
        <f t="shared" ca="1" si="57"/>
        <v>Female</v>
      </c>
      <c r="D375">
        <f t="shared" ca="1" si="58"/>
        <v>2</v>
      </c>
      <c r="E375" t="str">
        <f t="shared" ca="1" si="59"/>
        <v>African American</v>
      </c>
      <c r="F375" t="str">
        <f t="shared" ca="1" si="60"/>
        <v>AM</v>
      </c>
      <c r="G375" t="str">
        <f t="shared" ca="1" si="61"/>
        <v>Weekday</v>
      </c>
      <c r="H375" t="str">
        <f t="shared" ca="1" si="62"/>
        <v>Non-Patient</v>
      </c>
      <c r="I375" t="str">
        <f t="shared" ca="1" si="63"/>
        <v>Neurology</v>
      </c>
      <c r="J375">
        <f t="shared" ca="1" si="64"/>
        <v>3</v>
      </c>
      <c r="K375">
        <f t="shared" ca="1" si="65"/>
        <v>59</v>
      </c>
    </row>
    <row r="376" spans="1:11" x14ac:dyDescent="0.3">
      <c r="A376" s="1">
        <f t="shared" ca="1" si="55"/>
        <v>45131</v>
      </c>
      <c r="B376" t="str">
        <f t="shared" si="56"/>
        <v>V0375</v>
      </c>
      <c r="C376" t="str">
        <f t="shared" ca="1" si="57"/>
        <v>Male</v>
      </c>
      <c r="D376">
        <f t="shared" ca="1" si="58"/>
        <v>23</v>
      </c>
      <c r="E376" t="str">
        <f t="shared" ca="1" si="59"/>
        <v>Pacific Islander</v>
      </c>
      <c r="F376" t="str">
        <f t="shared" ca="1" si="60"/>
        <v>PM</v>
      </c>
      <c r="G376" t="str">
        <f t="shared" ca="1" si="61"/>
        <v>Weekday</v>
      </c>
      <c r="H376" t="str">
        <f t="shared" ca="1" si="62"/>
        <v>Patient</v>
      </c>
      <c r="I376" t="str">
        <f t="shared" ca="1" si="63"/>
        <v>Orthopedics</v>
      </c>
      <c r="J376">
        <f t="shared" ca="1" si="64"/>
        <v>1</v>
      </c>
      <c r="K376">
        <f t="shared" ca="1" si="65"/>
        <v>10</v>
      </c>
    </row>
    <row r="377" spans="1:11" x14ac:dyDescent="0.3">
      <c r="A377" s="1">
        <f t="shared" ca="1" si="55"/>
        <v>45027</v>
      </c>
      <c r="B377" t="str">
        <f t="shared" si="56"/>
        <v>V0376</v>
      </c>
      <c r="C377" t="str">
        <f t="shared" ca="1" si="57"/>
        <v>Male</v>
      </c>
      <c r="D377">
        <f t="shared" ca="1" si="58"/>
        <v>22</v>
      </c>
      <c r="E377" t="str">
        <f t="shared" ca="1" si="59"/>
        <v>Asian</v>
      </c>
      <c r="F377" t="str">
        <f t="shared" ca="1" si="60"/>
        <v>PM</v>
      </c>
      <c r="G377" t="str">
        <f t="shared" ca="1" si="61"/>
        <v>Weekday</v>
      </c>
      <c r="H377" t="str">
        <f t="shared" ca="1" si="62"/>
        <v>Non-Patient</v>
      </c>
      <c r="I377" t="str">
        <f t="shared" ca="1" si="63"/>
        <v>Orthopedics</v>
      </c>
      <c r="J377">
        <f t="shared" ca="1" si="64"/>
        <v>9</v>
      </c>
      <c r="K377">
        <f t="shared" ca="1" si="65"/>
        <v>90</v>
      </c>
    </row>
    <row r="378" spans="1:11" x14ac:dyDescent="0.3">
      <c r="A378" s="1">
        <f t="shared" ca="1" si="55"/>
        <v>45195</v>
      </c>
      <c r="B378" t="str">
        <f t="shared" si="56"/>
        <v>V0377</v>
      </c>
      <c r="C378" t="str">
        <f t="shared" ca="1" si="57"/>
        <v>Female</v>
      </c>
      <c r="D378">
        <f t="shared" ca="1" si="58"/>
        <v>3</v>
      </c>
      <c r="E378" t="str">
        <f t="shared" ca="1" si="59"/>
        <v>Asian</v>
      </c>
      <c r="F378" t="str">
        <f t="shared" ca="1" si="60"/>
        <v>PM</v>
      </c>
      <c r="G378" t="str">
        <f t="shared" ca="1" si="61"/>
        <v>Weekday</v>
      </c>
      <c r="H378" t="str">
        <f t="shared" ca="1" si="62"/>
        <v>Non-Patient</v>
      </c>
      <c r="I378" t="str">
        <f t="shared" ca="1" si="63"/>
        <v>Orthopedics</v>
      </c>
      <c r="J378">
        <f t="shared" ca="1" si="64"/>
        <v>5</v>
      </c>
      <c r="K378">
        <f t="shared" ca="1" si="65"/>
        <v>49</v>
      </c>
    </row>
    <row r="379" spans="1:11" x14ac:dyDescent="0.3">
      <c r="A379" s="1">
        <f t="shared" ca="1" si="55"/>
        <v>45266</v>
      </c>
      <c r="B379" t="str">
        <f t="shared" si="56"/>
        <v>V0378</v>
      </c>
      <c r="C379" t="str">
        <f t="shared" ca="1" si="57"/>
        <v>Female</v>
      </c>
      <c r="D379">
        <f t="shared" ca="1" si="58"/>
        <v>23</v>
      </c>
      <c r="E379" t="str">
        <f t="shared" ca="1" si="59"/>
        <v>Asian</v>
      </c>
      <c r="F379" t="str">
        <f t="shared" ca="1" si="60"/>
        <v>AM</v>
      </c>
      <c r="G379" t="str">
        <f t="shared" ca="1" si="61"/>
        <v>Weekday</v>
      </c>
      <c r="H379" t="str">
        <f t="shared" ca="1" si="62"/>
        <v>Non-Patient</v>
      </c>
      <c r="I379" t="str">
        <f t="shared" ca="1" si="63"/>
        <v>Cardiology</v>
      </c>
      <c r="J379">
        <f t="shared" ca="1" si="64"/>
        <v>8</v>
      </c>
      <c r="K379">
        <f t="shared" ca="1" si="65"/>
        <v>61</v>
      </c>
    </row>
    <row r="380" spans="1:11" x14ac:dyDescent="0.3">
      <c r="A380" s="1">
        <f t="shared" ca="1" si="55"/>
        <v>45022</v>
      </c>
      <c r="B380" t="str">
        <f t="shared" si="56"/>
        <v>V0379</v>
      </c>
      <c r="C380" t="str">
        <f t="shared" ca="1" si="57"/>
        <v>Female</v>
      </c>
      <c r="D380">
        <f t="shared" ca="1" si="58"/>
        <v>72</v>
      </c>
      <c r="E380" t="str">
        <f t="shared" ca="1" si="59"/>
        <v>Asian</v>
      </c>
      <c r="F380" t="str">
        <f t="shared" ca="1" si="60"/>
        <v>PM</v>
      </c>
      <c r="G380" t="str">
        <f t="shared" ca="1" si="61"/>
        <v>Weekday</v>
      </c>
      <c r="H380" t="str">
        <f t="shared" ca="1" si="62"/>
        <v>Patient</v>
      </c>
      <c r="I380" t="str">
        <f t="shared" ca="1" si="63"/>
        <v>Neurology</v>
      </c>
      <c r="J380">
        <f t="shared" ca="1" si="64"/>
        <v>9</v>
      </c>
      <c r="K380">
        <f t="shared" ca="1" si="65"/>
        <v>58</v>
      </c>
    </row>
    <row r="381" spans="1:11" x14ac:dyDescent="0.3">
      <c r="A381" s="1">
        <f t="shared" ca="1" si="55"/>
        <v>44997</v>
      </c>
      <c r="B381" t="str">
        <f t="shared" si="56"/>
        <v>V0380</v>
      </c>
      <c r="C381" t="str">
        <f t="shared" ca="1" si="57"/>
        <v>Female</v>
      </c>
      <c r="D381">
        <f t="shared" ca="1" si="58"/>
        <v>53</v>
      </c>
      <c r="E381" t="str">
        <f t="shared" ca="1" si="59"/>
        <v>White</v>
      </c>
      <c r="F381" t="str">
        <f t="shared" ca="1" si="60"/>
        <v>PM</v>
      </c>
      <c r="G381" t="str">
        <f t="shared" ca="1" si="61"/>
        <v>Weekend</v>
      </c>
      <c r="H381" t="str">
        <f t="shared" ca="1" si="62"/>
        <v>Non-Patient</v>
      </c>
      <c r="I381" t="str">
        <f t="shared" ca="1" si="63"/>
        <v>General Practice</v>
      </c>
      <c r="J381">
        <f t="shared" ca="1" si="64"/>
        <v>8</v>
      </c>
      <c r="K381">
        <f t="shared" ca="1" si="65"/>
        <v>52</v>
      </c>
    </row>
    <row r="382" spans="1:11" x14ac:dyDescent="0.3">
      <c r="A382" s="1">
        <f t="shared" ca="1" si="55"/>
        <v>44941</v>
      </c>
      <c r="B382" t="str">
        <f t="shared" si="56"/>
        <v>V0381</v>
      </c>
      <c r="C382" t="str">
        <f t="shared" ca="1" si="57"/>
        <v>Male</v>
      </c>
      <c r="D382">
        <f t="shared" ca="1" si="58"/>
        <v>59</v>
      </c>
      <c r="E382" t="str">
        <f t="shared" ca="1" si="59"/>
        <v>Native American</v>
      </c>
      <c r="F382" t="str">
        <f t="shared" ca="1" si="60"/>
        <v>AM</v>
      </c>
      <c r="G382" t="str">
        <f t="shared" ca="1" si="61"/>
        <v>Weekend</v>
      </c>
      <c r="H382" t="str">
        <f t="shared" ca="1" si="62"/>
        <v>Patient</v>
      </c>
      <c r="I382" t="str">
        <f t="shared" ca="1" si="63"/>
        <v>Orthopedics</v>
      </c>
      <c r="J382">
        <f t="shared" ca="1" si="64"/>
        <v>8</v>
      </c>
      <c r="K382">
        <f t="shared" ca="1" si="65"/>
        <v>20</v>
      </c>
    </row>
    <row r="383" spans="1:11" x14ac:dyDescent="0.3">
      <c r="A383" s="1">
        <f t="shared" ca="1" si="55"/>
        <v>45099</v>
      </c>
      <c r="B383" t="str">
        <f t="shared" si="56"/>
        <v>V0382</v>
      </c>
      <c r="C383" t="str">
        <f t="shared" ca="1" si="57"/>
        <v>Female</v>
      </c>
      <c r="D383">
        <f t="shared" ca="1" si="58"/>
        <v>51</v>
      </c>
      <c r="E383" t="str">
        <f t="shared" ca="1" si="59"/>
        <v>Pacific Islander</v>
      </c>
      <c r="F383" t="str">
        <f t="shared" ca="1" si="60"/>
        <v>PM</v>
      </c>
      <c r="G383" t="str">
        <f t="shared" ca="1" si="61"/>
        <v>Weekday</v>
      </c>
      <c r="H383" t="str">
        <f t="shared" ca="1" si="62"/>
        <v>Non-Patient</v>
      </c>
      <c r="I383" t="str">
        <f t="shared" ca="1" si="63"/>
        <v>Cardiology</v>
      </c>
      <c r="J383">
        <f t="shared" ca="1" si="64"/>
        <v>2</v>
      </c>
      <c r="K383">
        <f t="shared" ca="1" si="65"/>
        <v>42</v>
      </c>
    </row>
    <row r="384" spans="1:11" x14ac:dyDescent="0.3">
      <c r="A384" s="1">
        <f t="shared" ca="1" si="55"/>
        <v>44960</v>
      </c>
      <c r="B384" t="str">
        <f t="shared" si="56"/>
        <v>V0383</v>
      </c>
      <c r="C384" t="str">
        <f t="shared" ca="1" si="57"/>
        <v>Female</v>
      </c>
      <c r="D384">
        <f t="shared" ca="1" si="58"/>
        <v>17</v>
      </c>
      <c r="E384" t="str">
        <f t="shared" ca="1" si="59"/>
        <v>Native American</v>
      </c>
      <c r="F384" t="str">
        <f t="shared" ca="1" si="60"/>
        <v>PM</v>
      </c>
      <c r="G384" t="str">
        <f t="shared" ca="1" si="61"/>
        <v>Weekday</v>
      </c>
      <c r="H384" t="str">
        <f t="shared" ca="1" si="62"/>
        <v>Patient</v>
      </c>
      <c r="I384" t="str">
        <f t="shared" ca="1" si="63"/>
        <v>Cardiology</v>
      </c>
      <c r="J384">
        <f t="shared" ca="1" si="64"/>
        <v>8</v>
      </c>
      <c r="K384">
        <f t="shared" ca="1" si="65"/>
        <v>60</v>
      </c>
    </row>
    <row r="385" spans="1:11" x14ac:dyDescent="0.3">
      <c r="A385" s="1">
        <f t="shared" ca="1" si="55"/>
        <v>45170</v>
      </c>
      <c r="B385" t="str">
        <f t="shared" si="56"/>
        <v>V0384</v>
      </c>
      <c r="C385" t="str">
        <f t="shared" ca="1" si="57"/>
        <v>Female</v>
      </c>
      <c r="D385">
        <f t="shared" ca="1" si="58"/>
        <v>4</v>
      </c>
      <c r="E385" t="str">
        <f t="shared" ca="1" si="59"/>
        <v>Pacific Islander</v>
      </c>
      <c r="F385" t="str">
        <f t="shared" ca="1" si="60"/>
        <v>AM</v>
      </c>
      <c r="G385" t="str">
        <f t="shared" ca="1" si="61"/>
        <v>Weekday</v>
      </c>
      <c r="H385" t="str">
        <f t="shared" ca="1" si="62"/>
        <v>Patient</v>
      </c>
      <c r="I385" t="str">
        <f t="shared" ca="1" si="63"/>
        <v>General Practice</v>
      </c>
      <c r="J385">
        <f t="shared" ca="1" si="64"/>
        <v>7</v>
      </c>
      <c r="K385">
        <f t="shared" ca="1" si="65"/>
        <v>17</v>
      </c>
    </row>
    <row r="386" spans="1:11" x14ac:dyDescent="0.3">
      <c r="A386" s="1">
        <f t="shared" ca="1" si="55"/>
        <v>45008</v>
      </c>
      <c r="B386" t="str">
        <f t="shared" si="56"/>
        <v>V0385</v>
      </c>
      <c r="C386" t="str">
        <f t="shared" ca="1" si="57"/>
        <v>Female</v>
      </c>
      <c r="D386">
        <f t="shared" ca="1" si="58"/>
        <v>84</v>
      </c>
      <c r="E386" t="str">
        <f t="shared" ca="1" si="59"/>
        <v>Native American</v>
      </c>
      <c r="F386" t="str">
        <f t="shared" ca="1" si="60"/>
        <v>AM</v>
      </c>
      <c r="G386" t="str">
        <f t="shared" ca="1" si="61"/>
        <v>Weekday</v>
      </c>
      <c r="H386" t="str">
        <f t="shared" ca="1" si="62"/>
        <v>Non-Patient</v>
      </c>
      <c r="I386" t="str">
        <f t="shared" ca="1" si="63"/>
        <v>Orthopedics</v>
      </c>
      <c r="J386">
        <f t="shared" ca="1" si="64"/>
        <v>8</v>
      </c>
      <c r="K386">
        <f t="shared" ca="1" si="65"/>
        <v>11</v>
      </c>
    </row>
    <row r="387" spans="1:11" x14ac:dyDescent="0.3">
      <c r="A387" s="1">
        <f t="shared" ref="A387:A450" ca="1" si="66">DATE(2023,1,1)+RANDBETWEEN(0,365)</f>
        <v>45009</v>
      </c>
      <c r="B387" t="str">
        <f t="shared" ref="B387:B450" si="67">"V"&amp;TEXT(ROW(A387)-1,"0000")</f>
        <v>V0386</v>
      </c>
      <c r="C387" t="str">
        <f t="shared" ref="C387:C450" ca="1" si="68">IF(RAND()&gt;0.5,"Male","Female")</f>
        <v>Female</v>
      </c>
      <c r="D387">
        <f t="shared" ref="D387:D450" ca="1" si="69">RANDBETWEEN(1,85)</f>
        <v>23</v>
      </c>
      <c r="E387" t="str">
        <f t="shared" ref="E387:E450" ca="1" si="70">CHOOSE(RANDBETWEEN(1,5),"White","African American","Asian","Pacific Islander","Native American")</f>
        <v>Pacific Islander</v>
      </c>
      <c r="F387" t="str">
        <f t="shared" ref="F387:F450" ca="1" si="71">IF(RAND()&gt;0.5,"AM","PM")</f>
        <v>PM</v>
      </c>
      <c r="G387" t="str">
        <f t="shared" ref="G387:G450" ca="1" si="72">IF(WEEKDAY(A387,2)&lt;=5,"Weekday","Weekend")</f>
        <v>Weekday</v>
      </c>
      <c r="H387" t="str">
        <f t="shared" ref="H387:H450" ca="1" si="73">IF(RAND()&gt;0.5,"Patient","Non-Patient")</f>
        <v>Patient</v>
      </c>
      <c r="I387" t="str">
        <f t="shared" ref="I387:I450" ca="1" si="74">CHOOSE(RANDBETWEEN(1,5),"General Practice","Orthopedics","Cardiology","Physiotherapy","Neurology")</f>
        <v>Neurology</v>
      </c>
      <c r="J387">
        <f t="shared" ref="J387:J450" ca="1" si="75">RANDBETWEEN(1,10)</f>
        <v>10</v>
      </c>
      <c r="K387">
        <f t="shared" ref="K387:K450" ca="1" si="76">RANDBETWEEN(10,90)</f>
        <v>20</v>
      </c>
    </row>
    <row r="388" spans="1:11" x14ac:dyDescent="0.3">
      <c r="A388" s="1">
        <f t="shared" ca="1" si="66"/>
        <v>45132</v>
      </c>
      <c r="B388" t="str">
        <f t="shared" si="67"/>
        <v>V0387</v>
      </c>
      <c r="C388" t="str">
        <f t="shared" ca="1" si="68"/>
        <v>Female</v>
      </c>
      <c r="D388">
        <f t="shared" ca="1" si="69"/>
        <v>44</v>
      </c>
      <c r="E388" t="str">
        <f t="shared" ca="1" si="70"/>
        <v>Pacific Islander</v>
      </c>
      <c r="F388" t="str">
        <f t="shared" ca="1" si="71"/>
        <v>PM</v>
      </c>
      <c r="G388" t="str">
        <f t="shared" ca="1" si="72"/>
        <v>Weekday</v>
      </c>
      <c r="H388" t="str">
        <f t="shared" ca="1" si="73"/>
        <v>Patient</v>
      </c>
      <c r="I388" t="str">
        <f t="shared" ca="1" si="74"/>
        <v>Physiotherapy</v>
      </c>
      <c r="J388">
        <f t="shared" ca="1" si="75"/>
        <v>6</v>
      </c>
      <c r="K388">
        <f t="shared" ca="1" si="76"/>
        <v>59</v>
      </c>
    </row>
    <row r="389" spans="1:11" x14ac:dyDescent="0.3">
      <c r="A389" s="1">
        <f t="shared" ca="1" si="66"/>
        <v>45016</v>
      </c>
      <c r="B389" t="str">
        <f t="shared" si="67"/>
        <v>V0388</v>
      </c>
      <c r="C389" t="str">
        <f t="shared" ca="1" si="68"/>
        <v>Female</v>
      </c>
      <c r="D389">
        <f t="shared" ca="1" si="69"/>
        <v>54</v>
      </c>
      <c r="E389" t="str">
        <f t="shared" ca="1" si="70"/>
        <v>African American</v>
      </c>
      <c r="F389" t="str">
        <f t="shared" ca="1" si="71"/>
        <v>AM</v>
      </c>
      <c r="G389" t="str">
        <f t="shared" ca="1" si="72"/>
        <v>Weekday</v>
      </c>
      <c r="H389" t="str">
        <f t="shared" ca="1" si="73"/>
        <v>Non-Patient</v>
      </c>
      <c r="I389" t="str">
        <f t="shared" ca="1" si="74"/>
        <v>Orthopedics</v>
      </c>
      <c r="J389">
        <f t="shared" ca="1" si="75"/>
        <v>8</v>
      </c>
      <c r="K389">
        <f t="shared" ca="1" si="76"/>
        <v>81</v>
      </c>
    </row>
    <row r="390" spans="1:11" x14ac:dyDescent="0.3">
      <c r="A390" s="1">
        <f t="shared" ca="1" si="66"/>
        <v>45237</v>
      </c>
      <c r="B390" t="str">
        <f t="shared" si="67"/>
        <v>V0389</v>
      </c>
      <c r="C390" t="str">
        <f t="shared" ca="1" si="68"/>
        <v>Male</v>
      </c>
      <c r="D390">
        <f t="shared" ca="1" si="69"/>
        <v>32</v>
      </c>
      <c r="E390" t="str">
        <f t="shared" ca="1" si="70"/>
        <v>African American</v>
      </c>
      <c r="F390" t="str">
        <f t="shared" ca="1" si="71"/>
        <v>PM</v>
      </c>
      <c r="G390" t="str">
        <f t="shared" ca="1" si="72"/>
        <v>Weekday</v>
      </c>
      <c r="H390" t="str">
        <f t="shared" ca="1" si="73"/>
        <v>Patient</v>
      </c>
      <c r="I390" t="str">
        <f t="shared" ca="1" si="74"/>
        <v>General Practice</v>
      </c>
      <c r="J390">
        <f t="shared" ca="1" si="75"/>
        <v>9</v>
      </c>
      <c r="K390">
        <f t="shared" ca="1" si="76"/>
        <v>33</v>
      </c>
    </row>
    <row r="391" spans="1:11" x14ac:dyDescent="0.3">
      <c r="A391" s="1">
        <f t="shared" ca="1" si="66"/>
        <v>44960</v>
      </c>
      <c r="B391" t="str">
        <f t="shared" si="67"/>
        <v>V0390</v>
      </c>
      <c r="C391" t="str">
        <f t="shared" ca="1" si="68"/>
        <v>Female</v>
      </c>
      <c r="D391">
        <f t="shared" ca="1" si="69"/>
        <v>13</v>
      </c>
      <c r="E391" t="str">
        <f t="shared" ca="1" si="70"/>
        <v>Asian</v>
      </c>
      <c r="F391" t="str">
        <f t="shared" ca="1" si="71"/>
        <v>PM</v>
      </c>
      <c r="G391" t="str">
        <f t="shared" ca="1" si="72"/>
        <v>Weekday</v>
      </c>
      <c r="H391" t="str">
        <f t="shared" ca="1" si="73"/>
        <v>Patient</v>
      </c>
      <c r="I391" t="str">
        <f t="shared" ca="1" si="74"/>
        <v>Orthopedics</v>
      </c>
      <c r="J391">
        <f t="shared" ca="1" si="75"/>
        <v>9</v>
      </c>
      <c r="K391">
        <f t="shared" ca="1" si="76"/>
        <v>36</v>
      </c>
    </row>
    <row r="392" spans="1:11" x14ac:dyDescent="0.3">
      <c r="A392" s="1">
        <f t="shared" ca="1" si="66"/>
        <v>45134</v>
      </c>
      <c r="B392" t="str">
        <f t="shared" si="67"/>
        <v>V0391</v>
      </c>
      <c r="C392" t="str">
        <f t="shared" ca="1" si="68"/>
        <v>Female</v>
      </c>
      <c r="D392">
        <f t="shared" ca="1" si="69"/>
        <v>55</v>
      </c>
      <c r="E392" t="str">
        <f t="shared" ca="1" si="70"/>
        <v>White</v>
      </c>
      <c r="F392" t="str">
        <f t="shared" ca="1" si="71"/>
        <v>AM</v>
      </c>
      <c r="G392" t="str">
        <f t="shared" ca="1" si="72"/>
        <v>Weekday</v>
      </c>
      <c r="H392" t="str">
        <f t="shared" ca="1" si="73"/>
        <v>Non-Patient</v>
      </c>
      <c r="I392" t="str">
        <f t="shared" ca="1" si="74"/>
        <v>General Practice</v>
      </c>
      <c r="J392">
        <f t="shared" ca="1" si="75"/>
        <v>7</v>
      </c>
      <c r="K392">
        <f t="shared" ca="1" si="76"/>
        <v>19</v>
      </c>
    </row>
    <row r="393" spans="1:11" x14ac:dyDescent="0.3">
      <c r="A393" s="1">
        <f t="shared" ca="1" si="66"/>
        <v>45218</v>
      </c>
      <c r="B393" t="str">
        <f t="shared" si="67"/>
        <v>V0392</v>
      </c>
      <c r="C393" t="str">
        <f t="shared" ca="1" si="68"/>
        <v>Male</v>
      </c>
      <c r="D393">
        <f t="shared" ca="1" si="69"/>
        <v>33</v>
      </c>
      <c r="E393" t="str">
        <f t="shared" ca="1" si="70"/>
        <v>White</v>
      </c>
      <c r="F393" t="str">
        <f t="shared" ca="1" si="71"/>
        <v>PM</v>
      </c>
      <c r="G393" t="str">
        <f t="shared" ca="1" si="72"/>
        <v>Weekday</v>
      </c>
      <c r="H393" t="str">
        <f t="shared" ca="1" si="73"/>
        <v>Non-Patient</v>
      </c>
      <c r="I393" t="str">
        <f t="shared" ca="1" si="74"/>
        <v>Neurology</v>
      </c>
      <c r="J393">
        <f t="shared" ca="1" si="75"/>
        <v>9</v>
      </c>
      <c r="K393">
        <f t="shared" ca="1" si="76"/>
        <v>39</v>
      </c>
    </row>
    <row r="394" spans="1:11" x14ac:dyDescent="0.3">
      <c r="A394" s="1">
        <f t="shared" ca="1" si="66"/>
        <v>45020</v>
      </c>
      <c r="B394" t="str">
        <f t="shared" si="67"/>
        <v>V0393</v>
      </c>
      <c r="C394" t="str">
        <f t="shared" ca="1" si="68"/>
        <v>Male</v>
      </c>
      <c r="D394">
        <f t="shared" ca="1" si="69"/>
        <v>49</v>
      </c>
      <c r="E394" t="str">
        <f t="shared" ca="1" si="70"/>
        <v>Native American</v>
      </c>
      <c r="F394" t="str">
        <f t="shared" ca="1" si="71"/>
        <v>AM</v>
      </c>
      <c r="G394" t="str">
        <f t="shared" ca="1" si="72"/>
        <v>Weekday</v>
      </c>
      <c r="H394" t="str">
        <f t="shared" ca="1" si="73"/>
        <v>Non-Patient</v>
      </c>
      <c r="I394" t="str">
        <f t="shared" ca="1" si="74"/>
        <v>General Practice</v>
      </c>
      <c r="J394">
        <f t="shared" ca="1" si="75"/>
        <v>8</v>
      </c>
      <c r="K394">
        <f t="shared" ca="1" si="76"/>
        <v>40</v>
      </c>
    </row>
    <row r="395" spans="1:11" x14ac:dyDescent="0.3">
      <c r="A395" s="1">
        <f t="shared" ca="1" si="66"/>
        <v>45015</v>
      </c>
      <c r="B395" t="str">
        <f t="shared" si="67"/>
        <v>V0394</v>
      </c>
      <c r="C395" t="str">
        <f t="shared" ca="1" si="68"/>
        <v>Male</v>
      </c>
      <c r="D395">
        <f t="shared" ca="1" si="69"/>
        <v>61</v>
      </c>
      <c r="E395" t="str">
        <f t="shared" ca="1" si="70"/>
        <v>Native American</v>
      </c>
      <c r="F395" t="str">
        <f t="shared" ca="1" si="71"/>
        <v>PM</v>
      </c>
      <c r="G395" t="str">
        <f t="shared" ca="1" si="72"/>
        <v>Weekday</v>
      </c>
      <c r="H395" t="str">
        <f t="shared" ca="1" si="73"/>
        <v>Non-Patient</v>
      </c>
      <c r="I395" t="str">
        <f t="shared" ca="1" si="74"/>
        <v>Physiotherapy</v>
      </c>
      <c r="J395">
        <f t="shared" ca="1" si="75"/>
        <v>10</v>
      </c>
      <c r="K395">
        <f t="shared" ca="1" si="76"/>
        <v>59</v>
      </c>
    </row>
    <row r="396" spans="1:11" x14ac:dyDescent="0.3">
      <c r="A396" s="1">
        <f t="shared" ca="1" si="66"/>
        <v>45170</v>
      </c>
      <c r="B396" t="str">
        <f t="shared" si="67"/>
        <v>V0395</v>
      </c>
      <c r="C396" t="str">
        <f t="shared" ca="1" si="68"/>
        <v>Female</v>
      </c>
      <c r="D396">
        <f t="shared" ca="1" si="69"/>
        <v>14</v>
      </c>
      <c r="E396" t="str">
        <f t="shared" ca="1" si="70"/>
        <v>Pacific Islander</v>
      </c>
      <c r="F396" t="str">
        <f t="shared" ca="1" si="71"/>
        <v>PM</v>
      </c>
      <c r="G396" t="str">
        <f t="shared" ca="1" si="72"/>
        <v>Weekday</v>
      </c>
      <c r="H396" t="str">
        <f t="shared" ca="1" si="73"/>
        <v>Patient</v>
      </c>
      <c r="I396" t="str">
        <f t="shared" ca="1" si="74"/>
        <v>Neurology</v>
      </c>
      <c r="J396">
        <f t="shared" ca="1" si="75"/>
        <v>9</v>
      </c>
      <c r="K396">
        <f t="shared" ca="1" si="76"/>
        <v>83</v>
      </c>
    </row>
    <row r="397" spans="1:11" x14ac:dyDescent="0.3">
      <c r="A397" s="1">
        <f t="shared" ca="1" si="66"/>
        <v>45014</v>
      </c>
      <c r="B397" t="str">
        <f t="shared" si="67"/>
        <v>V0396</v>
      </c>
      <c r="C397" t="str">
        <f t="shared" ca="1" si="68"/>
        <v>Female</v>
      </c>
      <c r="D397">
        <f t="shared" ca="1" si="69"/>
        <v>72</v>
      </c>
      <c r="E397" t="str">
        <f t="shared" ca="1" si="70"/>
        <v>Pacific Islander</v>
      </c>
      <c r="F397" t="str">
        <f t="shared" ca="1" si="71"/>
        <v>AM</v>
      </c>
      <c r="G397" t="str">
        <f t="shared" ca="1" si="72"/>
        <v>Weekday</v>
      </c>
      <c r="H397" t="str">
        <f t="shared" ca="1" si="73"/>
        <v>Patient</v>
      </c>
      <c r="I397" t="str">
        <f t="shared" ca="1" si="74"/>
        <v>Physiotherapy</v>
      </c>
      <c r="J397">
        <f t="shared" ca="1" si="75"/>
        <v>6</v>
      </c>
      <c r="K397">
        <f t="shared" ca="1" si="76"/>
        <v>74</v>
      </c>
    </row>
    <row r="398" spans="1:11" x14ac:dyDescent="0.3">
      <c r="A398" s="1">
        <f t="shared" ca="1" si="66"/>
        <v>45144</v>
      </c>
      <c r="B398" t="str">
        <f t="shared" si="67"/>
        <v>V0397</v>
      </c>
      <c r="C398" t="str">
        <f t="shared" ca="1" si="68"/>
        <v>Male</v>
      </c>
      <c r="D398">
        <f t="shared" ca="1" si="69"/>
        <v>27</v>
      </c>
      <c r="E398" t="str">
        <f t="shared" ca="1" si="70"/>
        <v>White</v>
      </c>
      <c r="F398" t="str">
        <f t="shared" ca="1" si="71"/>
        <v>AM</v>
      </c>
      <c r="G398" t="str">
        <f t="shared" ca="1" si="72"/>
        <v>Weekend</v>
      </c>
      <c r="H398" t="str">
        <f t="shared" ca="1" si="73"/>
        <v>Non-Patient</v>
      </c>
      <c r="I398" t="str">
        <f t="shared" ca="1" si="74"/>
        <v>Orthopedics</v>
      </c>
      <c r="J398">
        <f t="shared" ca="1" si="75"/>
        <v>9</v>
      </c>
      <c r="K398">
        <f t="shared" ca="1" si="76"/>
        <v>52</v>
      </c>
    </row>
    <row r="399" spans="1:11" x14ac:dyDescent="0.3">
      <c r="A399" s="1">
        <f t="shared" ca="1" si="66"/>
        <v>45286</v>
      </c>
      <c r="B399" t="str">
        <f t="shared" si="67"/>
        <v>V0398</v>
      </c>
      <c r="C399" t="str">
        <f t="shared" ca="1" si="68"/>
        <v>Male</v>
      </c>
      <c r="D399">
        <f t="shared" ca="1" si="69"/>
        <v>12</v>
      </c>
      <c r="E399" t="str">
        <f t="shared" ca="1" si="70"/>
        <v>African American</v>
      </c>
      <c r="F399" t="str">
        <f t="shared" ca="1" si="71"/>
        <v>PM</v>
      </c>
      <c r="G399" t="str">
        <f t="shared" ca="1" si="72"/>
        <v>Weekday</v>
      </c>
      <c r="H399" t="str">
        <f t="shared" ca="1" si="73"/>
        <v>Non-Patient</v>
      </c>
      <c r="I399" t="str">
        <f t="shared" ca="1" si="74"/>
        <v>Orthopedics</v>
      </c>
      <c r="J399">
        <f t="shared" ca="1" si="75"/>
        <v>8</v>
      </c>
      <c r="K399">
        <f t="shared" ca="1" si="76"/>
        <v>85</v>
      </c>
    </row>
    <row r="400" spans="1:11" x14ac:dyDescent="0.3">
      <c r="A400" s="1">
        <f t="shared" ca="1" si="66"/>
        <v>45214</v>
      </c>
      <c r="B400" t="str">
        <f t="shared" si="67"/>
        <v>V0399</v>
      </c>
      <c r="C400" t="str">
        <f t="shared" ca="1" si="68"/>
        <v>Male</v>
      </c>
      <c r="D400">
        <f t="shared" ca="1" si="69"/>
        <v>23</v>
      </c>
      <c r="E400" t="str">
        <f t="shared" ca="1" si="70"/>
        <v>White</v>
      </c>
      <c r="F400" t="str">
        <f t="shared" ca="1" si="71"/>
        <v>PM</v>
      </c>
      <c r="G400" t="str">
        <f t="shared" ca="1" si="72"/>
        <v>Weekend</v>
      </c>
      <c r="H400" t="str">
        <f t="shared" ca="1" si="73"/>
        <v>Non-Patient</v>
      </c>
      <c r="I400" t="str">
        <f t="shared" ca="1" si="74"/>
        <v>Orthopedics</v>
      </c>
      <c r="J400">
        <f t="shared" ca="1" si="75"/>
        <v>10</v>
      </c>
      <c r="K400">
        <f t="shared" ca="1" si="76"/>
        <v>36</v>
      </c>
    </row>
    <row r="401" spans="1:11" x14ac:dyDescent="0.3">
      <c r="A401" s="1">
        <f t="shared" ca="1" si="66"/>
        <v>45076</v>
      </c>
      <c r="B401" t="str">
        <f t="shared" si="67"/>
        <v>V0400</v>
      </c>
      <c r="C401" t="str">
        <f t="shared" ca="1" si="68"/>
        <v>Female</v>
      </c>
      <c r="D401">
        <f t="shared" ca="1" si="69"/>
        <v>63</v>
      </c>
      <c r="E401" t="str">
        <f t="shared" ca="1" si="70"/>
        <v>Native American</v>
      </c>
      <c r="F401" t="str">
        <f t="shared" ca="1" si="71"/>
        <v>PM</v>
      </c>
      <c r="G401" t="str">
        <f t="shared" ca="1" si="72"/>
        <v>Weekday</v>
      </c>
      <c r="H401" t="str">
        <f t="shared" ca="1" si="73"/>
        <v>Non-Patient</v>
      </c>
      <c r="I401" t="str">
        <f t="shared" ca="1" si="74"/>
        <v>Physiotherapy</v>
      </c>
      <c r="J401">
        <f t="shared" ca="1" si="75"/>
        <v>4</v>
      </c>
      <c r="K401">
        <f t="shared" ca="1" si="76"/>
        <v>16</v>
      </c>
    </row>
    <row r="402" spans="1:11" x14ac:dyDescent="0.3">
      <c r="A402" s="1">
        <f t="shared" ca="1" si="66"/>
        <v>44962</v>
      </c>
      <c r="B402" t="str">
        <f t="shared" si="67"/>
        <v>V0401</v>
      </c>
      <c r="C402" t="str">
        <f t="shared" ca="1" si="68"/>
        <v>Male</v>
      </c>
      <c r="D402">
        <f t="shared" ca="1" si="69"/>
        <v>76</v>
      </c>
      <c r="E402" t="str">
        <f t="shared" ca="1" si="70"/>
        <v>White</v>
      </c>
      <c r="F402" t="str">
        <f t="shared" ca="1" si="71"/>
        <v>AM</v>
      </c>
      <c r="G402" t="str">
        <f t="shared" ca="1" si="72"/>
        <v>Weekend</v>
      </c>
      <c r="H402" t="str">
        <f t="shared" ca="1" si="73"/>
        <v>Patient</v>
      </c>
      <c r="I402" t="str">
        <f t="shared" ca="1" si="74"/>
        <v>General Practice</v>
      </c>
      <c r="J402">
        <f t="shared" ca="1" si="75"/>
        <v>5</v>
      </c>
      <c r="K402">
        <f t="shared" ca="1" si="76"/>
        <v>50</v>
      </c>
    </row>
    <row r="403" spans="1:11" x14ac:dyDescent="0.3">
      <c r="A403" s="1">
        <f t="shared" ca="1" si="66"/>
        <v>45284</v>
      </c>
      <c r="B403" t="str">
        <f t="shared" si="67"/>
        <v>V0402</v>
      </c>
      <c r="C403" t="str">
        <f t="shared" ca="1" si="68"/>
        <v>Female</v>
      </c>
      <c r="D403">
        <f t="shared" ca="1" si="69"/>
        <v>67</v>
      </c>
      <c r="E403" t="str">
        <f t="shared" ca="1" si="70"/>
        <v>Asian</v>
      </c>
      <c r="F403" t="str">
        <f t="shared" ca="1" si="71"/>
        <v>AM</v>
      </c>
      <c r="G403" t="str">
        <f t="shared" ca="1" si="72"/>
        <v>Weekend</v>
      </c>
      <c r="H403" t="str">
        <f t="shared" ca="1" si="73"/>
        <v>Non-Patient</v>
      </c>
      <c r="I403" t="str">
        <f t="shared" ca="1" si="74"/>
        <v>Cardiology</v>
      </c>
      <c r="J403">
        <f t="shared" ca="1" si="75"/>
        <v>9</v>
      </c>
      <c r="K403">
        <f t="shared" ca="1" si="76"/>
        <v>58</v>
      </c>
    </row>
    <row r="404" spans="1:11" x14ac:dyDescent="0.3">
      <c r="A404" s="1">
        <f t="shared" ca="1" si="66"/>
        <v>45245</v>
      </c>
      <c r="B404" t="str">
        <f t="shared" si="67"/>
        <v>V0403</v>
      </c>
      <c r="C404" t="str">
        <f t="shared" ca="1" si="68"/>
        <v>Male</v>
      </c>
      <c r="D404">
        <f t="shared" ca="1" si="69"/>
        <v>37</v>
      </c>
      <c r="E404" t="str">
        <f t="shared" ca="1" si="70"/>
        <v>Pacific Islander</v>
      </c>
      <c r="F404" t="str">
        <f t="shared" ca="1" si="71"/>
        <v>PM</v>
      </c>
      <c r="G404" t="str">
        <f t="shared" ca="1" si="72"/>
        <v>Weekday</v>
      </c>
      <c r="H404" t="str">
        <f t="shared" ca="1" si="73"/>
        <v>Non-Patient</v>
      </c>
      <c r="I404" t="str">
        <f t="shared" ca="1" si="74"/>
        <v>General Practice</v>
      </c>
      <c r="J404">
        <f t="shared" ca="1" si="75"/>
        <v>2</v>
      </c>
      <c r="K404">
        <f t="shared" ca="1" si="76"/>
        <v>30</v>
      </c>
    </row>
    <row r="405" spans="1:11" x14ac:dyDescent="0.3">
      <c r="A405" s="1">
        <f t="shared" ca="1" si="66"/>
        <v>44930</v>
      </c>
      <c r="B405" t="str">
        <f t="shared" si="67"/>
        <v>V0404</v>
      </c>
      <c r="C405" t="str">
        <f t="shared" ca="1" si="68"/>
        <v>Female</v>
      </c>
      <c r="D405">
        <f t="shared" ca="1" si="69"/>
        <v>13</v>
      </c>
      <c r="E405" t="str">
        <f t="shared" ca="1" si="70"/>
        <v>Asian</v>
      </c>
      <c r="F405" t="str">
        <f t="shared" ca="1" si="71"/>
        <v>AM</v>
      </c>
      <c r="G405" t="str">
        <f t="shared" ca="1" si="72"/>
        <v>Weekday</v>
      </c>
      <c r="H405" t="str">
        <f t="shared" ca="1" si="73"/>
        <v>Patient</v>
      </c>
      <c r="I405" t="str">
        <f t="shared" ca="1" si="74"/>
        <v>Neurology</v>
      </c>
      <c r="J405">
        <f t="shared" ca="1" si="75"/>
        <v>8</v>
      </c>
      <c r="K405">
        <f t="shared" ca="1" si="76"/>
        <v>25</v>
      </c>
    </row>
    <row r="406" spans="1:11" x14ac:dyDescent="0.3">
      <c r="A406" s="1">
        <f t="shared" ca="1" si="66"/>
        <v>45222</v>
      </c>
      <c r="B406" t="str">
        <f t="shared" si="67"/>
        <v>V0405</v>
      </c>
      <c r="C406" t="str">
        <f t="shared" ca="1" si="68"/>
        <v>Male</v>
      </c>
      <c r="D406">
        <f t="shared" ca="1" si="69"/>
        <v>37</v>
      </c>
      <c r="E406" t="str">
        <f t="shared" ca="1" si="70"/>
        <v>Native American</v>
      </c>
      <c r="F406" t="str">
        <f t="shared" ca="1" si="71"/>
        <v>PM</v>
      </c>
      <c r="G406" t="str">
        <f t="shared" ca="1" si="72"/>
        <v>Weekday</v>
      </c>
      <c r="H406" t="str">
        <f t="shared" ca="1" si="73"/>
        <v>Non-Patient</v>
      </c>
      <c r="I406" t="str">
        <f t="shared" ca="1" si="74"/>
        <v>Cardiology</v>
      </c>
      <c r="J406">
        <f t="shared" ca="1" si="75"/>
        <v>6</v>
      </c>
      <c r="K406">
        <f t="shared" ca="1" si="76"/>
        <v>16</v>
      </c>
    </row>
    <row r="407" spans="1:11" x14ac:dyDescent="0.3">
      <c r="A407" s="1">
        <f t="shared" ca="1" si="66"/>
        <v>45271</v>
      </c>
      <c r="B407" t="str">
        <f t="shared" si="67"/>
        <v>V0406</v>
      </c>
      <c r="C407" t="str">
        <f t="shared" ca="1" si="68"/>
        <v>Male</v>
      </c>
      <c r="D407">
        <f t="shared" ca="1" si="69"/>
        <v>55</v>
      </c>
      <c r="E407" t="str">
        <f t="shared" ca="1" si="70"/>
        <v>White</v>
      </c>
      <c r="F407" t="str">
        <f t="shared" ca="1" si="71"/>
        <v>PM</v>
      </c>
      <c r="G407" t="str">
        <f t="shared" ca="1" si="72"/>
        <v>Weekday</v>
      </c>
      <c r="H407" t="str">
        <f t="shared" ca="1" si="73"/>
        <v>Non-Patient</v>
      </c>
      <c r="I407" t="str">
        <f t="shared" ca="1" si="74"/>
        <v>Orthopedics</v>
      </c>
      <c r="J407">
        <f t="shared" ca="1" si="75"/>
        <v>10</v>
      </c>
      <c r="K407">
        <f t="shared" ca="1" si="76"/>
        <v>57</v>
      </c>
    </row>
    <row r="408" spans="1:11" x14ac:dyDescent="0.3">
      <c r="A408" s="1">
        <f t="shared" ca="1" si="66"/>
        <v>45049</v>
      </c>
      <c r="B408" t="str">
        <f t="shared" si="67"/>
        <v>V0407</v>
      </c>
      <c r="C408" t="str">
        <f t="shared" ca="1" si="68"/>
        <v>Male</v>
      </c>
      <c r="D408">
        <f t="shared" ca="1" si="69"/>
        <v>12</v>
      </c>
      <c r="E408" t="str">
        <f t="shared" ca="1" si="70"/>
        <v>African American</v>
      </c>
      <c r="F408" t="str">
        <f t="shared" ca="1" si="71"/>
        <v>PM</v>
      </c>
      <c r="G408" t="str">
        <f t="shared" ca="1" si="72"/>
        <v>Weekday</v>
      </c>
      <c r="H408" t="str">
        <f t="shared" ca="1" si="73"/>
        <v>Patient</v>
      </c>
      <c r="I408" t="str">
        <f t="shared" ca="1" si="74"/>
        <v>Neurology</v>
      </c>
      <c r="J408">
        <f t="shared" ca="1" si="75"/>
        <v>5</v>
      </c>
      <c r="K408">
        <f t="shared" ca="1" si="76"/>
        <v>36</v>
      </c>
    </row>
    <row r="409" spans="1:11" x14ac:dyDescent="0.3">
      <c r="A409" s="1">
        <f t="shared" ca="1" si="66"/>
        <v>45254</v>
      </c>
      <c r="B409" t="str">
        <f t="shared" si="67"/>
        <v>V0408</v>
      </c>
      <c r="C409" t="str">
        <f t="shared" ca="1" si="68"/>
        <v>Male</v>
      </c>
      <c r="D409">
        <f t="shared" ca="1" si="69"/>
        <v>50</v>
      </c>
      <c r="E409" t="str">
        <f t="shared" ca="1" si="70"/>
        <v>Pacific Islander</v>
      </c>
      <c r="F409" t="str">
        <f t="shared" ca="1" si="71"/>
        <v>AM</v>
      </c>
      <c r="G409" t="str">
        <f t="shared" ca="1" si="72"/>
        <v>Weekday</v>
      </c>
      <c r="H409" t="str">
        <f t="shared" ca="1" si="73"/>
        <v>Non-Patient</v>
      </c>
      <c r="I409" t="str">
        <f t="shared" ca="1" si="74"/>
        <v>Physiotherapy</v>
      </c>
      <c r="J409">
        <f t="shared" ca="1" si="75"/>
        <v>2</v>
      </c>
      <c r="K409">
        <f t="shared" ca="1" si="76"/>
        <v>37</v>
      </c>
    </row>
    <row r="410" spans="1:11" x14ac:dyDescent="0.3">
      <c r="A410" s="1">
        <f t="shared" ca="1" si="66"/>
        <v>44963</v>
      </c>
      <c r="B410" t="str">
        <f t="shared" si="67"/>
        <v>V0409</v>
      </c>
      <c r="C410" t="str">
        <f t="shared" ca="1" si="68"/>
        <v>Male</v>
      </c>
      <c r="D410">
        <f t="shared" ca="1" si="69"/>
        <v>12</v>
      </c>
      <c r="E410" t="str">
        <f t="shared" ca="1" si="70"/>
        <v>Native American</v>
      </c>
      <c r="F410" t="str">
        <f t="shared" ca="1" si="71"/>
        <v>PM</v>
      </c>
      <c r="G410" t="str">
        <f t="shared" ca="1" si="72"/>
        <v>Weekday</v>
      </c>
      <c r="H410" t="str">
        <f t="shared" ca="1" si="73"/>
        <v>Non-Patient</v>
      </c>
      <c r="I410" t="str">
        <f t="shared" ca="1" si="74"/>
        <v>Cardiology</v>
      </c>
      <c r="J410">
        <f t="shared" ca="1" si="75"/>
        <v>2</v>
      </c>
      <c r="K410">
        <f t="shared" ca="1" si="76"/>
        <v>67</v>
      </c>
    </row>
    <row r="411" spans="1:11" x14ac:dyDescent="0.3">
      <c r="A411" s="1">
        <f t="shared" ca="1" si="66"/>
        <v>45133</v>
      </c>
      <c r="B411" t="str">
        <f t="shared" si="67"/>
        <v>V0410</v>
      </c>
      <c r="C411" t="str">
        <f t="shared" ca="1" si="68"/>
        <v>Female</v>
      </c>
      <c r="D411">
        <f t="shared" ca="1" si="69"/>
        <v>75</v>
      </c>
      <c r="E411" t="str">
        <f t="shared" ca="1" si="70"/>
        <v>African American</v>
      </c>
      <c r="F411" t="str">
        <f t="shared" ca="1" si="71"/>
        <v>AM</v>
      </c>
      <c r="G411" t="str">
        <f t="shared" ca="1" si="72"/>
        <v>Weekday</v>
      </c>
      <c r="H411" t="str">
        <f t="shared" ca="1" si="73"/>
        <v>Non-Patient</v>
      </c>
      <c r="I411" t="str">
        <f t="shared" ca="1" si="74"/>
        <v>Cardiology</v>
      </c>
      <c r="J411">
        <f t="shared" ca="1" si="75"/>
        <v>10</v>
      </c>
      <c r="K411">
        <f t="shared" ca="1" si="76"/>
        <v>36</v>
      </c>
    </row>
    <row r="412" spans="1:11" x14ac:dyDescent="0.3">
      <c r="A412" s="1">
        <f t="shared" ca="1" si="66"/>
        <v>45098</v>
      </c>
      <c r="B412" t="str">
        <f t="shared" si="67"/>
        <v>V0411</v>
      </c>
      <c r="C412" t="str">
        <f t="shared" ca="1" si="68"/>
        <v>Male</v>
      </c>
      <c r="D412">
        <f t="shared" ca="1" si="69"/>
        <v>40</v>
      </c>
      <c r="E412" t="str">
        <f t="shared" ca="1" si="70"/>
        <v>Asian</v>
      </c>
      <c r="F412" t="str">
        <f t="shared" ca="1" si="71"/>
        <v>AM</v>
      </c>
      <c r="G412" t="str">
        <f t="shared" ca="1" si="72"/>
        <v>Weekday</v>
      </c>
      <c r="H412" t="str">
        <f t="shared" ca="1" si="73"/>
        <v>Patient</v>
      </c>
      <c r="I412" t="str">
        <f t="shared" ca="1" si="74"/>
        <v>Physiotherapy</v>
      </c>
      <c r="J412">
        <f t="shared" ca="1" si="75"/>
        <v>2</v>
      </c>
      <c r="K412">
        <f t="shared" ca="1" si="76"/>
        <v>35</v>
      </c>
    </row>
    <row r="413" spans="1:11" x14ac:dyDescent="0.3">
      <c r="A413" s="1">
        <f t="shared" ca="1" si="66"/>
        <v>45189</v>
      </c>
      <c r="B413" t="str">
        <f t="shared" si="67"/>
        <v>V0412</v>
      </c>
      <c r="C413" t="str">
        <f t="shared" ca="1" si="68"/>
        <v>Female</v>
      </c>
      <c r="D413">
        <f t="shared" ca="1" si="69"/>
        <v>32</v>
      </c>
      <c r="E413" t="str">
        <f t="shared" ca="1" si="70"/>
        <v>Native American</v>
      </c>
      <c r="F413" t="str">
        <f t="shared" ca="1" si="71"/>
        <v>AM</v>
      </c>
      <c r="G413" t="str">
        <f t="shared" ca="1" si="72"/>
        <v>Weekday</v>
      </c>
      <c r="H413" t="str">
        <f t="shared" ca="1" si="73"/>
        <v>Non-Patient</v>
      </c>
      <c r="I413" t="str">
        <f t="shared" ca="1" si="74"/>
        <v>Neurology</v>
      </c>
      <c r="J413">
        <f t="shared" ca="1" si="75"/>
        <v>7</v>
      </c>
      <c r="K413">
        <f t="shared" ca="1" si="76"/>
        <v>46</v>
      </c>
    </row>
    <row r="414" spans="1:11" x14ac:dyDescent="0.3">
      <c r="A414" s="1">
        <f t="shared" ca="1" si="66"/>
        <v>45209</v>
      </c>
      <c r="B414" t="str">
        <f t="shared" si="67"/>
        <v>V0413</v>
      </c>
      <c r="C414" t="str">
        <f t="shared" ca="1" si="68"/>
        <v>Male</v>
      </c>
      <c r="D414">
        <f t="shared" ca="1" si="69"/>
        <v>69</v>
      </c>
      <c r="E414" t="str">
        <f t="shared" ca="1" si="70"/>
        <v>White</v>
      </c>
      <c r="F414" t="str">
        <f t="shared" ca="1" si="71"/>
        <v>AM</v>
      </c>
      <c r="G414" t="str">
        <f t="shared" ca="1" si="72"/>
        <v>Weekday</v>
      </c>
      <c r="H414" t="str">
        <f t="shared" ca="1" si="73"/>
        <v>Patient</v>
      </c>
      <c r="I414" t="str">
        <f t="shared" ca="1" si="74"/>
        <v>Cardiology</v>
      </c>
      <c r="J414">
        <f t="shared" ca="1" si="75"/>
        <v>6</v>
      </c>
      <c r="K414">
        <f t="shared" ca="1" si="76"/>
        <v>53</v>
      </c>
    </row>
    <row r="415" spans="1:11" x14ac:dyDescent="0.3">
      <c r="A415" s="1">
        <f t="shared" ca="1" si="66"/>
        <v>45087</v>
      </c>
      <c r="B415" t="str">
        <f t="shared" si="67"/>
        <v>V0414</v>
      </c>
      <c r="C415" t="str">
        <f t="shared" ca="1" si="68"/>
        <v>Male</v>
      </c>
      <c r="D415">
        <f t="shared" ca="1" si="69"/>
        <v>14</v>
      </c>
      <c r="E415" t="str">
        <f t="shared" ca="1" si="70"/>
        <v>African American</v>
      </c>
      <c r="F415" t="str">
        <f t="shared" ca="1" si="71"/>
        <v>AM</v>
      </c>
      <c r="G415" t="str">
        <f t="shared" ca="1" si="72"/>
        <v>Weekend</v>
      </c>
      <c r="H415" t="str">
        <f t="shared" ca="1" si="73"/>
        <v>Non-Patient</v>
      </c>
      <c r="I415" t="str">
        <f t="shared" ca="1" si="74"/>
        <v>Cardiology</v>
      </c>
      <c r="J415">
        <f t="shared" ca="1" si="75"/>
        <v>5</v>
      </c>
      <c r="K415">
        <f t="shared" ca="1" si="76"/>
        <v>82</v>
      </c>
    </row>
    <row r="416" spans="1:11" x14ac:dyDescent="0.3">
      <c r="A416" s="1">
        <f t="shared" ca="1" si="66"/>
        <v>45154</v>
      </c>
      <c r="B416" t="str">
        <f t="shared" si="67"/>
        <v>V0415</v>
      </c>
      <c r="C416" t="str">
        <f t="shared" ca="1" si="68"/>
        <v>Female</v>
      </c>
      <c r="D416">
        <f t="shared" ca="1" si="69"/>
        <v>1</v>
      </c>
      <c r="E416" t="str">
        <f t="shared" ca="1" si="70"/>
        <v>Pacific Islander</v>
      </c>
      <c r="F416" t="str">
        <f t="shared" ca="1" si="71"/>
        <v>AM</v>
      </c>
      <c r="G416" t="str">
        <f t="shared" ca="1" si="72"/>
        <v>Weekday</v>
      </c>
      <c r="H416" t="str">
        <f t="shared" ca="1" si="73"/>
        <v>Patient</v>
      </c>
      <c r="I416" t="str">
        <f t="shared" ca="1" si="74"/>
        <v>Cardiology</v>
      </c>
      <c r="J416">
        <f t="shared" ca="1" si="75"/>
        <v>10</v>
      </c>
      <c r="K416">
        <f t="shared" ca="1" si="76"/>
        <v>27</v>
      </c>
    </row>
    <row r="417" spans="1:11" x14ac:dyDescent="0.3">
      <c r="A417" s="1">
        <f t="shared" ca="1" si="66"/>
        <v>45212</v>
      </c>
      <c r="B417" t="str">
        <f t="shared" si="67"/>
        <v>V0416</v>
      </c>
      <c r="C417" t="str">
        <f t="shared" ca="1" si="68"/>
        <v>Male</v>
      </c>
      <c r="D417">
        <f t="shared" ca="1" si="69"/>
        <v>20</v>
      </c>
      <c r="E417" t="str">
        <f t="shared" ca="1" si="70"/>
        <v>Asian</v>
      </c>
      <c r="F417" t="str">
        <f t="shared" ca="1" si="71"/>
        <v>PM</v>
      </c>
      <c r="G417" t="str">
        <f t="shared" ca="1" si="72"/>
        <v>Weekday</v>
      </c>
      <c r="H417" t="str">
        <f t="shared" ca="1" si="73"/>
        <v>Non-Patient</v>
      </c>
      <c r="I417" t="str">
        <f t="shared" ca="1" si="74"/>
        <v>Orthopedics</v>
      </c>
      <c r="J417">
        <f t="shared" ca="1" si="75"/>
        <v>10</v>
      </c>
      <c r="K417">
        <f t="shared" ca="1" si="76"/>
        <v>86</v>
      </c>
    </row>
    <row r="418" spans="1:11" x14ac:dyDescent="0.3">
      <c r="A418" s="1">
        <f t="shared" ca="1" si="66"/>
        <v>45130</v>
      </c>
      <c r="B418" t="str">
        <f t="shared" si="67"/>
        <v>V0417</v>
      </c>
      <c r="C418" t="str">
        <f t="shared" ca="1" si="68"/>
        <v>Female</v>
      </c>
      <c r="D418">
        <f t="shared" ca="1" si="69"/>
        <v>47</v>
      </c>
      <c r="E418" t="str">
        <f t="shared" ca="1" si="70"/>
        <v>Pacific Islander</v>
      </c>
      <c r="F418" t="str">
        <f t="shared" ca="1" si="71"/>
        <v>AM</v>
      </c>
      <c r="G418" t="str">
        <f t="shared" ca="1" si="72"/>
        <v>Weekend</v>
      </c>
      <c r="H418" t="str">
        <f t="shared" ca="1" si="73"/>
        <v>Non-Patient</v>
      </c>
      <c r="I418" t="str">
        <f t="shared" ca="1" si="74"/>
        <v>Cardiology</v>
      </c>
      <c r="J418">
        <f t="shared" ca="1" si="75"/>
        <v>5</v>
      </c>
      <c r="K418">
        <f t="shared" ca="1" si="76"/>
        <v>36</v>
      </c>
    </row>
    <row r="419" spans="1:11" x14ac:dyDescent="0.3">
      <c r="A419" s="1">
        <f t="shared" ca="1" si="66"/>
        <v>45009</v>
      </c>
      <c r="B419" t="str">
        <f t="shared" si="67"/>
        <v>V0418</v>
      </c>
      <c r="C419" t="str">
        <f t="shared" ca="1" si="68"/>
        <v>Female</v>
      </c>
      <c r="D419">
        <f t="shared" ca="1" si="69"/>
        <v>70</v>
      </c>
      <c r="E419" t="str">
        <f t="shared" ca="1" si="70"/>
        <v>Pacific Islander</v>
      </c>
      <c r="F419" t="str">
        <f t="shared" ca="1" si="71"/>
        <v>AM</v>
      </c>
      <c r="G419" t="str">
        <f t="shared" ca="1" si="72"/>
        <v>Weekday</v>
      </c>
      <c r="H419" t="str">
        <f t="shared" ca="1" si="73"/>
        <v>Non-Patient</v>
      </c>
      <c r="I419" t="str">
        <f t="shared" ca="1" si="74"/>
        <v>Cardiology</v>
      </c>
      <c r="J419">
        <f t="shared" ca="1" si="75"/>
        <v>4</v>
      </c>
      <c r="K419">
        <f t="shared" ca="1" si="76"/>
        <v>70</v>
      </c>
    </row>
    <row r="420" spans="1:11" x14ac:dyDescent="0.3">
      <c r="A420" s="1">
        <f t="shared" ca="1" si="66"/>
        <v>45082</v>
      </c>
      <c r="B420" t="str">
        <f t="shared" si="67"/>
        <v>V0419</v>
      </c>
      <c r="C420" t="str">
        <f t="shared" ca="1" si="68"/>
        <v>Female</v>
      </c>
      <c r="D420">
        <f t="shared" ca="1" si="69"/>
        <v>3</v>
      </c>
      <c r="E420" t="str">
        <f t="shared" ca="1" si="70"/>
        <v>Asian</v>
      </c>
      <c r="F420" t="str">
        <f t="shared" ca="1" si="71"/>
        <v>PM</v>
      </c>
      <c r="G420" t="str">
        <f t="shared" ca="1" si="72"/>
        <v>Weekday</v>
      </c>
      <c r="H420" t="str">
        <f t="shared" ca="1" si="73"/>
        <v>Non-Patient</v>
      </c>
      <c r="I420" t="str">
        <f t="shared" ca="1" si="74"/>
        <v>Cardiology</v>
      </c>
      <c r="J420">
        <f t="shared" ca="1" si="75"/>
        <v>1</v>
      </c>
      <c r="K420">
        <f t="shared" ca="1" si="76"/>
        <v>49</v>
      </c>
    </row>
    <row r="421" spans="1:11" x14ac:dyDescent="0.3">
      <c r="A421" s="1">
        <f t="shared" ca="1" si="66"/>
        <v>45150</v>
      </c>
      <c r="B421" t="str">
        <f t="shared" si="67"/>
        <v>V0420</v>
      </c>
      <c r="C421" t="str">
        <f t="shared" ca="1" si="68"/>
        <v>Male</v>
      </c>
      <c r="D421">
        <f t="shared" ca="1" si="69"/>
        <v>33</v>
      </c>
      <c r="E421" t="str">
        <f t="shared" ca="1" si="70"/>
        <v>African American</v>
      </c>
      <c r="F421" t="str">
        <f t="shared" ca="1" si="71"/>
        <v>PM</v>
      </c>
      <c r="G421" t="str">
        <f t="shared" ca="1" si="72"/>
        <v>Weekend</v>
      </c>
      <c r="H421" t="str">
        <f t="shared" ca="1" si="73"/>
        <v>Non-Patient</v>
      </c>
      <c r="I421" t="str">
        <f t="shared" ca="1" si="74"/>
        <v>Physiotherapy</v>
      </c>
      <c r="J421">
        <f t="shared" ca="1" si="75"/>
        <v>1</v>
      </c>
      <c r="K421">
        <f t="shared" ca="1" si="76"/>
        <v>73</v>
      </c>
    </row>
    <row r="422" spans="1:11" x14ac:dyDescent="0.3">
      <c r="A422" s="1">
        <f t="shared" ca="1" si="66"/>
        <v>45253</v>
      </c>
      <c r="B422" t="str">
        <f t="shared" si="67"/>
        <v>V0421</v>
      </c>
      <c r="C422" t="str">
        <f t="shared" ca="1" si="68"/>
        <v>Female</v>
      </c>
      <c r="D422">
        <f t="shared" ca="1" si="69"/>
        <v>62</v>
      </c>
      <c r="E422" t="str">
        <f t="shared" ca="1" si="70"/>
        <v>African American</v>
      </c>
      <c r="F422" t="str">
        <f t="shared" ca="1" si="71"/>
        <v>AM</v>
      </c>
      <c r="G422" t="str">
        <f t="shared" ca="1" si="72"/>
        <v>Weekday</v>
      </c>
      <c r="H422" t="str">
        <f t="shared" ca="1" si="73"/>
        <v>Patient</v>
      </c>
      <c r="I422" t="str">
        <f t="shared" ca="1" si="74"/>
        <v>Cardiology</v>
      </c>
      <c r="J422">
        <f t="shared" ca="1" si="75"/>
        <v>2</v>
      </c>
      <c r="K422">
        <f t="shared" ca="1" si="76"/>
        <v>62</v>
      </c>
    </row>
    <row r="423" spans="1:11" x14ac:dyDescent="0.3">
      <c r="A423" s="1">
        <f t="shared" ca="1" si="66"/>
        <v>44931</v>
      </c>
      <c r="B423" t="str">
        <f t="shared" si="67"/>
        <v>V0422</v>
      </c>
      <c r="C423" t="str">
        <f t="shared" ca="1" si="68"/>
        <v>Female</v>
      </c>
      <c r="D423">
        <f t="shared" ca="1" si="69"/>
        <v>41</v>
      </c>
      <c r="E423" t="str">
        <f t="shared" ca="1" si="70"/>
        <v>Asian</v>
      </c>
      <c r="F423" t="str">
        <f t="shared" ca="1" si="71"/>
        <v>AM</v>
      </c>
      <c r="G423" t="str">
        <f t="shared" ca="1" si="72"/>
        <v>Weekday</v>
      </c>
      <c r="H423" t="str">
        <f t="shared" ca="1" si="73"/>
        <v>Patient</v>
      </c>
      <c r="I423" t="str">
        <f t="shared" ca="1" si="74"/>
        <v>General Practice</v>
      </c>
      <c r="J423">
        <f t="shared" ca="1" si="75"/>
        <v>6</v>
      </c>
      <c r="K423">
        <f t="shared" ca="1" si="76"/>
        <v>17</v>
      </c>
    </row>
    <row r="424" spans="1:11" x14ac:dyDescent="0.3">
      <c r="A424" s="1">
        <f t="shared" ca="1" si="66"/>
        <v>45090</v>
      </c>
      <c r="B424" t="str">
        <f t="shared" si="67"/>
        <v>V0423</v>
      </c>
      <c r="C424" t="str">
        <f t="shared" ca="1" si="68"/>
        <v>Male</v>
      </c>
      <c r="D424">
        <f t="shared" ca="1" si="69"/>
        <v>27</v>
      </c>
      <c r="E424" t="str">
        <f t="shared" ca="1" si="70"/>
        <v>Pacific Islander</v>
      </c>
      <c r="F424" t="str">
        <f t="shared" ca="1" si="71"/>
        <v>PM</v>
      </c>
      <c r="G424" t="str">
        <f t="shared" ca="1" si="72"/>
        <v>Weekday</v>
      </c>
      <c r="H424" t="str">
        <f t="shared" ca="1" si="73"/>
        <v>Non-Patient</v>
      </c>
      <c r="I424" t="str">
        <f t="shared" ca="1" si="74"/>
        <v>Cardiology</v>
      </c>
      <c r="J424">
        <f t="shared" ca="1" si="75"/>
        <v>10</v>
      </c>
      <c r="K424">
        <f t="shared" ca="1" si="76"/>
        <v>37</v>
      </c>
    </row>
    <row r="425" spans="1:11" x14ac:dyDescent="0.3">
      <c r="A425" s="1">
        <f t="shared" ca="1" si="66"/>
        <v>45195</v>
      </c>
      <c r="B425" t="str">
        <f t="shared" si="67"/>
        <v>V0424</v>
      </c>
      <c r="C425" t="str">
        <f t="shared" ca="1" si="68"/>
        <v>Male</v>
      </c>
      <c r="D425">
        <f t="shared" ca="1" si="69"/>
        <v>41</v>
      </c>
      <c r="E425" t="str">
        <f t="shared" ca="1" si="70"/>
        <v>Asian</v>
      </c>
      <c r="F425" t="str">
        <f t="shared" ca="1" si="71"/>
        <v>PM</v>
      </c>
      <c r="G425" t="str">
        <f t="shared" ca="1" si="72"/>
        <v>Weekday</v>
      </c>
      <c r="H425" t="str">
        <f t="shared" ca="1" si="73"/>
        <v>Patient</v>
      </c>
      <c r="I425" t="str">
        <f t="shared" ca="1" si="74"/>
        <v>General Practice</v>
      </c>
      <c r="J425">
        <f t="shared" ca="1" si="75"/>
        <v>9</v>
      </c>
      <c r="K425">
        <f t="shared" ca="1" si="76"/>
        <v>73</v>
      </c>
    </row>
    <row r="426" spans="1:11" x14ac:dyDescent="0.3">
      <c r="A426" s="1">
        <f t="shared" ca="1" si="66"/>
        <v>45038</v>
      </c>
      <c r="B426" t="str">
        <f t="shared" si="67"/>
        <v>V0425</v>
      </c>
      <c r="C426" t="str">
        <f t="shared" ca="1" si="68"/>
        <v>Male</v>
      </c>
      <c r="D426">
        <f t="shared" ca="1" si="69"/>
        <v>68</v>
      </c>
      <c r="E426" t="str">
        <f t="shared" ca="1" si="70"/>
        <v>African American</v>
      </c>
      <c r="F426" t="str">
        <f t="shared" ca="1" si="71"/>
        <v>PM</v>
      </c>
      <c r="G426" t="str">
        <f t="shared" ca="1" si="72"/>
        <v>Weekend</v>
      </c>
      <c r="H426" t="str">
        <f t="shared" ca="1" si="73"/>
        <v>Non-Patient</v>
      </c>
      <c r="I426" t="str">
        <f t="shared" ca="1" si="74"/>
        <v>Physiotherapy</v>
      </c>
      <c r="J426">
        <f t="shared" ca="1" si="75"/>
        <v>8</v>
      </c>
      <c r="K426">
        <f t="shared" ca="1" si="76"/>
        <v>63</v>
      </c>
    </row>
    <row r="427" spans="1:11" x14ac:dyDescent="0.3">
      <c r="A427" s="1">
        <f t="shared" ca="1" si="66"/>
        <v>45229</v>
      </c>
      <c r="B427" t="str">
        <f t="shared" si="67"/>
        <v>V0426</v>
      </c>
      <c r="C427" t="str">
        <f t="shared" ca="1" si="68"/>
        <v>Male</v>
      </c>
      <c r="D427">
        <f t="shared" ca="1" si="69"/>
        <v>22</v>
      </c>
      <c r="E427" t="str">
        <f t="shared" ca="1" si="70"/>
        <v>Pacific Islander</v>
      </c>
      <c r="F427" t="str">
        <f t="shared" ca="1" si="71"/>
        <v>AM</v>
      </c>
      <c r="G427" t="str">
        <f t="shared" ca="1" si="72"/>
        <v>Weekday</v>
      </c>
      <c r="H427" t="str">
        <f t="shared" ca="1" si="73"/>
        <v>Non-Patient</v>
      </c>
      <c r="I427" t="str">
        <f t="shared" ca="1" si="74"/>
        <v>Neurology</v>
      </c>
      <c r="J427">
        <f t="shared" ca="1" si="75"/>
        <v>4</v>
      </c>
      <c r="K427">
        <f t="shared" ca="1" si="76"/>
        <v>68</v>
      </c>
    </row>
    <row r="428" spans="1:11" x14ac:dyDescent="0.3">
      <c r="A428" s="1">
        <f t="shared" ca="1" si="66"/>
        <v>45102</v>
      </c>
      <c r="B428" t="str">
        <f t="shared" si="67"/>
        <v>V0427</v>
      </c>
      <c r="C428" t="str">
        <f t="shared" ca="1" si="68"/>
        <v>Female</v>
      </c>
      <c r="D428">
        <f t="shared" ca="1" si="69"/>
        <v>14</v>
      </c>
      <c r="E428" t="str">
        <f t="shared" ca="1" si="70"/>
        <v>Pacific Islander</v>
      </c>
      <c r="F428" t="str">
        <f t="shared" ca="1" si="71"/>
        <v>AM</v>
      </c>
      <c r="G428" t="str">
        <f t="shared" ca="1" si="72"/>
        <v>Weekend</v>
      </c>
      <c r="H428" t="str">
        <f t="shared" ca="1" si="73"/>
        <v>Non-Patient</v>
      </c>
      <c r="I428" t="str">
        <f t="shared" ca="1" si="74"/>
        <v>General Practice</v>
      </c>
      <c r="J428">
        <f t="shared" ca="1" si="75"/>
        <v>10</v>
      </c>
      <c r="K428">
        <f t="shared" ca="1" si="76"/>
        <v>40</v>
      </c>
    </row>
    <row r="429" spans="1:11" x14ac:dyDescent="0.3">
      <c r="A429" s="1">
        <f t="shared" ca="1" si="66"/>
        <v>45070</v>
      </c>
      <c r="B429" t="str">
        <f t="shared" si="67"/>
        <v>V0428</v>
      </c>
      <c r="C429" t="str">
        <f t="shared" ca="1" si="68"/>
        <v>Male</v>
      </c>
      <c r="D429">
        <f t="shared" ca="1" si="69"/>
        <v>62</v>
      </c>
      <c r="E429" t="str">
        <f t="shared" ca="1" si="70"/>
        <v>Asian</v>
      </c>
      <c r="F429" t="str">
        <f t="shared" ca="1" si="71"/>
        <v>PM</v>
      </c>
      <c r="G429" t="str">
        <f t="shared" ca="1" si="72"/>
        <v>Weekday</v>
      </c>
      <c r="H429" t="str">
        <f t="shared" ca="1" si="73"/>
        <v>Non-Patient</v>
      </c>
      <c r="I429" t="str">
        <f t="shared" ca="1" si="74"/>
        <v>Cardiology</v>
      </c>
      <c r="J429">
        <f t="shared" ca="1" si="75"/>
        <v>10</v>
      </c>
      <c r="K429">
        <f t="shared" ca="1" si="76"/>
        <v>72</v>
      </c>
    </row>
    <row r="430" spans="1:11" x14ac:dyDescent="0.3">
      <c r="A430" s="1">
        <f t="shared" ca="1" si="66"/>
        <v>45282</v>
      </c>
      <c r="B430" t="str">
        <f t="shared" si="67"/>
        <v>V0429</v>
      </c>
      <c r="C430" t="str">
        <f t="shared" ca="1" si="68"/>
        <v>Female</v>
      </c>
      <c r="D430">
        <f t="shared" ca="1" si="69"/>
        <v>30</v>
      </c>
      <c r="E430" t="str">
        <f t="shared" ca="1" si="70"/>
        <v>African American</v>
      </c>
      <c r="F430" t="str">
        <f t="shared" ca="1" si="71"/>
        <v>AM</v>
      </c>
      <c r="G430" t="str">
        <f t="shared" ca="1" si="72"/>
        <v>Weekday</v>
      </c>
      <c r="H430" t="str">
        <f t="shared" ca="1" si="73"/>
        <v>Patient</v>
      </c>
      <c r="I430" t="str">
        <f t="shared" ca="1" si="74"/>
        <v>Physiotherapy</v>
      </c>
      <c r="J430">
        <f t="shared" ca="1" si="75"/>
        <v>9</v>
      </c>
      <c r="K430">
        <f t="shared" ca="1" si="76"/>
        <v>79</v>
      </c>
    </row>
    <row r="431" spans="1:11" x14ac:dyDescent="0.3">
      <c r="A431" s="1">
        <f t="shared" ca="1" si="66"/>
        <v>45284</v>
      </c>
      <c r="B431" t="str">
        <f t="shared" si="67"/>
        <v>V0430</v>
      </c>
      <c r="C431" t="str">
        <f t="shared" ca="1" si="68"/>
        <v>Male</v>
      </c>
      <c r="D431">
        <f t="shared" ca="1" si="69"/>
        <v>59</v>
      </c>
      <c r="E431" t="str">
        <f t="shared" ca="1" si="70"/>
        <v>Pacific Islander</v>
      </c>
      <c r="F431" t="str">
        <f t="shared" ca="1" si="71"/>
        <v>PM</v>
      </c>
      <c r="G431" t="str">
        <f t="shared" ca="1" si="72"/>
        <v>Weekend</v>
      </c>
      <c r="H431" t="str">
        <f t="shared" ca="1" si="73"/>
        <v>Non-Patient</v>
      </c>
      <c r="I431" t="str">
        <f t="shared" ca="1" si="74"/>
        <v>Physiotherapy</v>
      </c>
      <c r="J431">
        <f t="shared" ca="1" si="75"/>
        <v>7</v>
      </c>
      <c r="K431">
        <f t="shared" ca="1" si="76"/>
        <v>49</v>
      </c>
    </row>
    <row r="432" spans="1:11" x14ac:dyDescent="0.3">
      <c r="A432" s="1">
        <f t="shared" ca="1" si="66"/>
        <v>45189</v>
      </c>
      <c r="B432" t="str">
        <f t="shared" si="67"/>
        <v>V0431</v>
      </c>
      <c r="C432" t="str">
        <f t="shared" ca="1" si="68"/>
        <v>Female</v>
      </c>
      <c r="D432">
        <f t="shared" ca="1" si="69"/>
        <v>15</v>
      </c>
      <c r="E432" t="str">
        <f t="shared" ca="1" si="70"/>
        <v>Pacific Islander</v>
      </c>
      <c r="F432" t="str">
        <f t="shared" ca="1" si="71"/>
        <v>AM</v>
      </c>
      <c r="G432" t="str">
        <f t="shared" ca="1" si="72"/>
        <v>Weekday</v>
      </c>
      <c r="H432" t="str">
        <f t="shared" ca="1" si="73"/>
        <v>Patient</v>
      </c>
      <c r="I432" t="str">
        <f t="shared" ca="1" si="74"/>
        <v>Physiotherapy</v>
      </c>
      <c r="J432">
        <f t="shared" ca="1" si="75"/>
        <v>2</v>
      </c>
      <c r="K432">
        <f t="shared" ca="1" si="76"/>
        <v>10</v>
      </c>
    </row>
    <row r="433" spans="1:11" x14ac:dyDescent="0.3">
      <c r="A433" s="1">
        <f t="shared" ca="1" si="66"/>
        <v>45176</v>
      </c>
      <c r="B433" t="str">
        <f t="shared" si="67"/>
        <v>V0432</v>
      </c>
      <c r="C433" t="str">
        <f t="shared" ca="1" si="68"/>
        <v>Female</v>
      </c>
      <c r="D433">
        <f t="shared" ca="1" si="69"/>
        <v>78</v>
      </c>
      <c r="E433" t="str">
        <f t="shared" ca="1" si="70"/>
        <v>White</v>
      </c>
      <c r="F433" t="str">
        <f t="shared" ca="1" si="71"/>
        <v>PM</v>
      </c>
      <c r="G433" t="str">
        <f t="shared" ca="1" si="72"/>
        <v>Weekday</v>
      </c>
      <c r="H433" t="str">
        <f t="shared" ca="1" si="73"/>
        <v>Patient</v>
      </c>
      <c r="I433" t="str">
        <f t="shared" ca="1" si="74"/>
        <v>Neurology</v>
      </c>
      <c r="J433">
        <f t="shared" ca="1" si="75"/>
        <v>5</v>
      </c>
      <c r="K433">
        <f t="shared" ca="1" si="76"/>
        <v>12</v>
      </c>
    </row>
    <row r="434" spans="1:11" x14ac:dyDescent="0.3">
      <c r="A434" s="1">
        <f t="shared" ca="1" si="66"/>
        <v>45269</v>
      </c>
      <c r="B434" t="str">
        <f t="shared" si="67"/>
        <v>V0433</v>
      </c>
      <c r="C434" t="str">
        <f t="shared" ca="1" si="68"/>
        <v>Male</v>
      </c>
      <c r="D434">
        <f t="shared" ca="1" si="69"/>
        <v>46</v>
      </c>
      <c r="E434" t="str">
        <f t="shared" ca="1" si="70"/>
        <v>White</v>
      </c>
      <c r="F434" t="str">
        <f t="shared" ca="1" si="71"/>
        <v>PM</v>
      </c>
      <c r="G434" t="str">
        <f t="shared" ca="1" si="72"/>
        <v>Weekend</v>
      </c>
      <c r="H434" t="str">
        <f t="shared" ca="1" si="73"/>
        <v>Patient</v>
      </c>
      <c r="I434" t="str">
        <f t="shared" ca="1" si="74"/>
        <v>Neurology</v>
      </c>
      <c r="J434">
        <f t="shared" ca="1" si="75"/>
        <v>10</v>
      </c>
      <c r="K434">
        <f t="shared" ca="1" si="76"/>
        <v>33</v>
      </c>
    </row>
    <row r="435" spans="1:11" x14ac:dyDescent="0.3">
      <c r="A435" s="1">
        <f t="shared" ca="1" si="66"/>
        <v>45218</v>
      </c>
      <c r="B435" t="str">
        <f t="shared" si="67"/>
        <v>V0434</v>
      </c>
      <c r="C435" t="str">
        <f t="shared" ca="1" si="68"/>
        <v>Female</v>
      </c>
      <c r="D435">
        <f t="shared" ca="1" si="69"/>
        <v>83</v>
      </c>
      <c r="E435" t="str">
        <f t="shared" ca="1" si="70"/>
        <v>White</v>
      </c>
      <c r="F435" t="str">
        <f t="shared" ca="1" si="71"/>
        <v>AM</v>
      </c>
      <c r="G435" t="str">
        <f t="shared" ca="1" si="72"/>
        <v>Weekday</v>
      </c>
      <c r="H435" t="str">
        <f t="shared" ca="1" si="73"/>
        <v>Patient</v>
      </c>
      <c r="I435" t="str">
        <f t="shared" ca="1" si="74"/>
        <v>Cardiology</v>
      </c>
      <c r="J435">
        <f t="shared" ca="1" si="75"/>
        <v>5</v>
      </c>
      <c r="K435">
        <f t="shared" ca="1" si="76"/>
        <v>71</v>
      </c>
    </row>
    <row r="436" spans="1:11" x14ac:dyDescent="0.3">
      <c r="A436" s="1">
        <f t="shared" ca="1" si="66"/>
        <v>44972</v>
      </c>
      <c r="B436" t="str">
        <f t="shared" si="67"/>
        <v>V0435</v>
      </c>
      <c r="C436" t="str">
        <f t="shared" ca="1" si="68"/>
        <v>Female</v>
      </c>
      <c r="D436">
        <f t="shared" ca="1" si="69"/>
        <v>64</v>
      </c>
      <c r="E436" t="str">
        <f t="shared" ca="1" si="70"/>
        <v>Native American</v>
      </c>
      <c r="F436" t="str">
        <f t="shared" ca="1" si="71"/>
        <v>AM</v>
      </c>
      <c r="G436" t="str">
        <f t="shared" ca="1" si="72"/>
        <v>Weekday</v>
      </c>
      <c r="H436" t="str">
        <f t="shared" ca="1" si="73"/>
        <v>Patient</v>
      </c>
      <c r="I436" t="str">
        <f t="shared" ca="1" si="74"/>
        <v>Orthopedics</v>
      </c>
      <c r="J436">
        <f t="shared" ca="1" si="75"/>
        <v>1</v>
      </c>
      <c r="K436">
        <f t="shared" ca="1" si="76"/>
        <v>69</v>
      </c>
    </row>
    <row r="437" spans="1:11" x14ac:dyDescent="0.3">
      <c r="A437" s="1">
        <f t="shared" ca="1" si="66"/>
        <v>45104</v>
      </c>
      <c r="B437" t="str">
        <f t="shared" si="67"/>
        <v>V0436</v>
      </c>
      <c r="C437" t="str">
        <f t="shared" ca="1" si="68"/>
        <v>Female</v>
      </c>
      <c r="D437">
        <f t="shared" ca="1" si="69"/>
        <v>67</v>
      </c>
      <c r="E437" t="str">
        <f t="shared" ca="1" si="70"/>
        <v>White</v>
      </c>
      <c r="F437" t="str">
        <f t="shared" ca="1" si="71"/>
        <v>AM</v>
      </c>
      <c r="G437" t="str">
        <f t="shared" ca="1" si="72"/>
        <v>Weekday</v>
      </c>
      <c r="H437" t="str">
        <f t="shared" ca="1" si="73"/>
        <v>Patient</v>
      </c>
      <c r="I437" t="str">
        <f t="shared" ca="1" si="74"/>
        <v>Orthopedics</v>
      </c>
      <c r="J437">
        <f t="shared" ca="1" si="75"/>
        <v>5</v>
      </c>
      <c r="K437">
        <f t="shared" ca="1" si="76"/>
        <v>73</v>
      </c>
    </row>
    <row r="438" spans="1:11" x14ac:dyDescent="0.3">
      <c r="A438" s="1">
        <f t="shared" ca="1" si="66"/>
        <v>45224</v>
      </c>
      <c r="B438" t="str">
        <f t="shared" si="67"/>
        <v>V0437</v>
      </c>
      <c r="C438" t="str">
        <f t="shared" ca="1" si="68"/>
        <v>Female</v>
      </c>
      <c r="D438">
        <f t="shared" ca="1" si="69"/>
        <v>23</v>
      </c>
      <c r="E438" t="str">
        <f t="shared" ca="1" si="70"/>
        <v>Native American</v>
      </c>
      <c r="F438" t="str">
        <f t="shared" ca="1" si="71"/>
        <v>PM</v>
      </c>
      <c r="G438" t="str">
        <f t="shared" ca="1" si="72"/>
        <v>Weekday</v>
      </c>
      <c r="H438" t="str">
        <f t="shared" ca="1" si="73"/>
        <v>Patient</v>
      </c>
      <c r="I438" t="str">
        <f t="shared" ca="1" si="74"/>
        <v>Neurology</v>
      </c>
      <c r="J438">
        <f t="shared" ca="1" si="75"/>
        <v>6</v>
      </c>
      <c r="K438">
        <f t="shared" ca="1" si="76"/>
        <v>46</v>
      </c>
    </row>
    <row r="439" spans="1:11" x14ac:dyDescent="0.3">
      <c r="A439" s="1">
        <f t="shared" ca="1" si="66"/>
        <v>44955</v>
      </c>
      <c r="B439" t="str">
        <f t="shared" si="67"/>
        <v>V0438</v>
      </c>
      <c r="C439" t="str">
        <f t="shared" ca="1" si="68"/>
        <v>Female</v>
      </c>
      <c r="D439">
        <f t="shared" ca="1" si="69"/>
        <v>47</v>
      </c>
      <c r="E439" t="str">
        <f t="shared" ca="1" si="70"/>
        <v>Asian</v>
      </c>
      <c r="F439" t="str">
        <f t="shared" ca="1" si="71"/>
        <v>AM</v>
      </c>
      <c r="G439" t="str">
        <f t="shared" ca="1" si="72"/>
        <v>Weekend</v>
      </c>
      <c r="H439" t="str">
        <f t="shared" ca="1" si="73"/>
        <v>Non-Patient</v>
      </c>
      <c r="I439" t="str">
        <f t="shared" ca="1" si="74"/>
        <v>Cardiology</v>
      </c>
      <c r="J439">
        <f t="shared" ca="1" si="75"/>
        <v>10</v>
      </c>
      <c r="K439">
        <f t="shared" ca="1" si="76"/>
        <v>50</v>
      </c>
    </row>
    <row r="440" spans="1:11" x14ac:dyDescent="0.3">
      <c r="A440" s="1">
        <f t="shared" ca="1" si="66"/>
        <v>45287</v>
      </c>
      <c r="B440" t="str">
        <f t="shared" si="67"/>
        <v>V0439</v>
      </c>
      <c r="C440" t="str">
        <f t="shared" ca="1" si="68"/>
        <v>Female</v>
      </c>
      <c r="D440">
        <f t="shared" ca="1" si="69"/>
        <v>23</v>
      </c>
      <c r="E440" t="str">
        <f t="shared" ca="1" si="70"/>
        <v>Pacific Islander</v>
      </c>
      <c r="F440" t="str">
        <f t="shared" ca="1" si="71"/>
        <v>AM</v>
      </c>
      <c r="G440" t="str">
        <f t="shared" ca="1" si="72"/>
        <v>Weekday</v>
      </c>
      <c r="H440" t="str">
        <f t="shared" ca="1" si="73"/>
        <v>Patient</v>
      </c>
      <c r="I440" t="str">
        <f t="shared" ca="1" si="74"/>
        <v>Physiotherapy</v>
      </c>
      <c r="J440">
        <f t="shared" ca="1" si="75"/>
        <v>2</v>
      </c>
      <c r="K440">
        <f t="shared" ca="1" si="76"/>
        <v>16</v>
      </c>
    </row>
    <row r="441" spans="1:11" x14ac:dyDescent="0.3">
      <c r="A441" s="1">
        <f t="shared" ca="1" si="66"/>
        <v>45126</v>
      </c>
      <c r="B441" t="str">
        <f t="shared" si="67"/>
        <v>V0440</v>
      </c>
      <c r="C441" t="str">
        <f t="shared" ca="1" si="68"/>
        <v>Female</v>
      </c>
      <c r="D441">
        <f t="shared" ca="1" si="69"/>
        <v>4</v>
      </c>
      <c r="E441" t="str">
        <f t="shared" ca="1" si="70"/>
        <v>Asian</v>
      </c>
      <c r="F441" t="str">
        <f t="shared" ca="1" si="71"/>
        <v>PM</v>
      </c>
      <c r="G441" t="str">
        <f t="shared" ca="1" si="72"/>
        <v>Weekday</v>
      </c>
      <c r="H441" t="str">
        <f t="shared" ca="1" si="73"/>
        <v>Non-Patient</v>
      </c>
      <c r="I441" t="str">
        <f t="shared" ca="1" si="74"/>
        <v>General Practice</v>
      </c>
      <c r="J441">
        <f t="shared" ca="1" si="75"/>
        <v>7</v>
      </c>
      <c r="K441">
        <f t="shared" ca="1" si="76"/>
        <v>63</v>
      </c>
    </row>
    <row r="442" spans="1:11" x14ac:dyDescent="0.3">
      <c r="A442" s="1">
        <f t="shared" ca="1" si="66"/>
        <v>45145</v>
      </c>
      <c r="B442" t="str">
        <f t="shared" si="67"/>
        <v>V0441</v>
      </c>
      <c r="C442" t="str">
        <f t="shared" ca="1" si="68"/>
        <v>Male</v>
      </c>
      <c r="D442">
        <f t="shared" ca="1" si="69"/>
        <v>19</v>
      </c>
      <c r="E442" t="str">
        <f t="shared" ca="1" si="70"/>
        <v>White</v>
      </c>
      <c r="F442" t="str">
        <f t="shared" ca="1" si="71"/>
        <v>AM</v>
      </c>
      <c r="G442" t="str">
        <f t="shared" ca="1" si="72"/>
        <v>Weekday</v>
      </c>
      <c r="H442" t="str">
        <f t="shared" ca="1" si="73"/>
        <v>Non-Patient</v>
      </c>
      <c r="I442" t="str">
        <f t="shared" ca="1" si="74"/>
        <v>Cardiology</v>
      </c>
      <c r="J442">
        <f t="shared" ca="1" si="75"/>
        <v>5</v>
      </c>
      <c r="K442">
        <f t="shared" ca="1" si="76"/>
        <v>68</v>
      </c>
    </row>
    <row r="443" spans="1:11" x14ac:dyDescent="0.3">
      <c r="A443" s="1">
        <f t="shared" ca="1" si="66"/>
        <v>45262</v>
      </c>
      <c r="B443" t="str">
        <f t="shared" si="67"/>
        <v>V0442</v>
      </c>
      <c r="C443" t="str">
        <f t="shared" ca="1" si="68"/>
        <v>Male</v>
      </c>
      <c r="D443">
        <f t="shared" ca="1" si="69"/>
        <v>42</v>
      </c>
      <c r="E443" t="str">
        <f t="shared" ca="1" si="70"/>
        <v>Native American</v>
      </c>
      <c r="F443" t="str">
        <f t="shared" ca="1" si="71"/>
        <v>AM</v>
      </c>
      <c r="G443" t="str">
        <f t="shared" ca="1" si="72"/>
        <v>Weekend</v>
      </c>
      <c r="H443" t="str">
        <f t="shared" ca="1" si="73"/>
        <v>Patient</v>
      </c>
      <c r="I443" t="str">
        <f t="shared" ca="1" si="74"/>
        <v>Physiotherapy</v>
      </c>
      <c r="J443">
        <f t="shared" ca="1" si="75"/>
        <v>1</v>
      </c>
      <c r="K443">
        <f t="shared" ca="1" si="76"/>
        <v>50</v>
      </c>
    </row>
    <row r="444" spans="1:11" x14ac:dyDescent="0.3">
      <c r="A444" s="1">
        <f t="shared" ca="1" si="66"/>
        <v>45221</v>
      </c>
      <c r="B444" t="str">
        <f t="shared" si="67"/>
        <v>V0443</v>
      </c>
      <c r="C444" t="str">
        <f t="shared" ca="1" si="68"/>
        <v>Female</v>
      </c>
      <c r="D444">
        <f t="shared" ca="1" si="69"/>
        <v>62</v>
      </c>
      <c r="E444" t="str">
        <f t="shared" ca="1" si="70"/>
        <v>Native American</v>
      </c>
      <c r="F444" t="str">
        <f t="shared" ca="1" si="71"/>
        <v>PM</v>
      </c>
      <c r="G444" t="str">
        <f t="shared" ca="1" si="72"/>
        <v>Weekend</v>
      </c>
      <c r="H444" t="str">
        <f t="shared" ca="1" si="73"/>
        <v>Non-Patient</v>
      </c>
      <c r="I444" t="str">
        <f t="shared" ca="1" si="74"/>
        <v>Orthopedics</v>
      </c>
      <c r="J444">
        <f t="shared" ca="1" si="75"/>
        <v>10</v>
      </c>
      <c r="K444">
        <f t="shared" ca="1" si="76"/>
        <v>25</v>
      </c>
    </row>
    <row r="445" spans="1:11" x14ac:dyDescent="0.3">
      <c r="A445" s="1">
        <f t="shared" ca="1" si="66"/>
        <v>45112</v>
      </c>
      <c r="B445" t="str">
        <f t="shared" si="67"/>
        <v>V0444</v>
      </c>
      <c r="C445" t="str">
        <f t="shared" ca="1" si="68"/>
        <v>Female</v>
      </c>
      <c r="D445">
        <f t="shared" ca="1" si="69"/>
        <v>16</v>
      </c>
      <c r="E445" t="str">
        <f t="shared" ca="1" si="70"/>
        <v>White</v>
      </c>
      <c r="F445" t="str">
        <f t="shared" ca="1" si="71"/>
        <v>AM</v>
      </c>
      <c r="G445" t="str">
        <f t="shared" ca="1" si="72"/>
        <v>Weekday</v>
      </c>
      <c r="H445" t="str">
        <f t="shared" ca="1" si="73"/>
        <v>Non-Patient</v>
      </c>
      <c r="I445" t="str">
        <f t="shared" ca="1" si="74"/>
        <v>General Practice</v>
      </c>
      <c r="J445">
        <f t="shared" ca="1" si="75"/>
        <v>4</v>
      </c>
      <c r="K445">
        <f t="shared" ca="1" si="76"/>
        <v>18</v>
      </c>
    </row>
    <row r="446" spans="1:11" x14ac:dyDescent="0.3">
      <c r="A446" s="1">
        <f t="shared" ca="1" si="66"/>
        <v>45274</v>
      </c>
      <c r="B446" t="str">
        <f t="shared" si="67"/>
        <v>V0445</v>
      </c>
      <c r="C446" t="str">
        <f t="shared" ca="1" si="68"/>
        <v>Female</v>
      </c>
      <c r="D446">
        <f t="shared" ca="1" si="69"/>
        <v>82</v>
      </c>
      <c r="E446" t="str">
        <f t="shared" ca="1" si="70"/>
        <v>Pacific Islander</v>
      </c>
      <c r="F446" t="str">
        <f t="shared" ca="1" si="71"/>
        <v>PM</v>
      </c>
      <c r="G446" t="str">
        <f t="shared" ca="1" si="72"/>
        <v>Weekday</v>
      </c>
      <c r="H446" t="str">
        <f t="shared" ca="1" si="73"/>
        <v>Patient</v>
      </c>
      <c r="I446" t="str">
        <f t="shared" ca="1" si="74"/>
        <v>Orthopedics</v>
      </c>
      <c r="J446">
        <f t="shared" ca="1" si="75"/>
        <v>7</v>
      </c>
      <c r="K446">
        <f t="shared" ca="1" si="76"/>
        <v>83</v>
      </c>
    </row>
    <row r="447" spans="1:11" x14ac:dyDescent="0.3">
      <c r="A447" s="1">
        <f t="shared" ca="1" si="66"/>
        <v>45279</v>
      </c>
      <c r="B447" t="str">
        <f t="shared" si="67"/>
        <v>V0446</v>
      </c>
      <c r="C447" t="str">
        <f t="shared" ca="1" si="68"/>
        <v>Female</v>
      </c>
      <c r="D447">
        <f t="shared" ca="1" si="69"/>
        <v>1</v>
      </c>
      <c r="E447" t="str">
        <f t="shared" ca="1" si="70"/>
        <v>White</v>
      </c>
      <c r="F447" t="str">
        <f t="shared" ca="1" si="71"/>
        <v>PM</v>
      </c>
      <c r="G447" t="str">
        <f t="shared" ca="1" si="72"/>
        <v>Weekday</v>
      </c>
      <c r="H447" t="str">
        <f t="shared" ca="1" si="73"/>
        <v>Non-Patient</v>
      </c>
      <c r="I447" t="str">
        <f t="shared" ca="1" si="74"/>
        <v>Cardiology</v>
      </c>
      <c r="J447">
        <f t="shared" ca="1" si="75"/>
        <v>7</v>
      </c>
      <c r="K447">
        <f t="shared" ca="1" si="76"/>
        <v>67</v>
      </c>
    </row>
    <row r="448" spans="1:11" x14ac:dyDescent="0.3">
      <c r="A448" s="1">
        <f t="shared" ca="1" si="66"/>
        <v>45012</v>
      </c>
      <c r="B448" t="str">
        <f t="shared" si="67"/>
        <v>V0447</v>
      </c>
      <c r="C448" t="str">
        <f t="shared" ca="1" si="68"/>
        <v>Female</v>
      </c>
      <c r="D448">
        <f t="shared" ca="1" si="69"/>
        <v>25</v>
      </c>
      <c r="E448" t="str">
        <f t="shared" ca="1" si="70"/>
        <v>Asian</v>
      </c>
      <c r="F448" t="str">
        <f t="shared" ca="1" si="71"/>
        <v>AM</v>
      </c>
      <c r="G448" t="str">
        <f t="shared" ca="1" si="72"/>
        <v>Weekday</v>
      </c>
      <c r="H448" t="str">
        <f t="shared" ca="1" si="73"/>
        <v>Non-Patient</v>
      </c>
      <c r="I448" t="str">
        <f t="shared" ca="1" si="74"/>
        <v>Orthopedics</v>
      </c>
      <c r="J448">
        <f t="shared" ca="1" si="75"/>
        <v>8</v>
      </c>
      <c r="K448">
        <f t="shared" ca="1" si="76"/>
        <v>74</v>
      </c>
    </row>
    <row r="449" spans="1:11" x14ac:dyDescent="0.3">
      <c r="A449" s="1">
        <f t="shared" ca="1" si="66"/>
        <v>45040</v>
      </c>
      <c r="B449" t="str">
        <f t="shared" si="67"/>
        <v>V0448</v>
      </c>
      <c r="C449" t="str">
        <f t="shared" ca="1" si="68"/>
        <v>Female</v>
      </c>
      <c r="D449">
        <f t="shared" ca="1" si="69"/>
        <v>62</v>
      </c>
      <c r="E449" t="str">
        <f t="shared" ca="1" si="70"/>
        <v>African American</v>
      </c>
      <c r="F449" t="str">
        <f t="shared" ca="1" si="71"/>
        <v>PM</v>
      </c>
      <c r="G449" t="str">
        <f t="shared" ca="1" si="72"/>
        <v>Weekday</v>
      </c>
      <c r="H449" t="str">
        <f t="shared" ca="1" si="73"/>
        <v>Patient</v>
      </c>
      <c r="I449" t="str">
        <f t="shared" ca="1" si="74"/>
        <v>Neurology</v>
      </c>
      <c r="J449">
        <f t="shared" ca="1" si="75"/>
        <v>2</v>
      </c>
      <c r="K449">
        <f t="shared" ca="1" si="76"/>
        <v>59</v>
      </c>
    </row>
    <row r="450" spans="1:11" x14ac:dyDescent="0.3">
      <c r="A450" s="1">
        <f t="shared" ca="1" si="66"/>
        <v>45243</v>
      </c>
      <c r="B450" t="str">
        <f t="shared" si="67"/>
        <v>V0449</v>
      </c>
      <c r="C450" t="str">
        <f t="shared" ca="1" si="68"/>
        <v>Male</v>
      </c>
      <c r="D450">
        <f t="shared" ca="1" si="69"/>
        <v>69</v>
      </c>
      <c r="E450" t="str">
        <f t="shared" ca="1" si="70"/>
        <v>White</v>
      </c>
      <c r="F450" t="str">
        <f t="shared" ca="1" si="71"/>
        <v>AM</v>
      </c>
      <c r="G450" t="str">
        <f t="shared" ca="1" si="72"/>
        <v>Weekday</v>
      </c>
      <c r="H450" t="str">
        <f t="shared" ca="1" si="73"/>
        <v>Patient</v>
      </c>
      <c r="I450" t="str">
        <f t="shared" ca="1" si="74"/>
        <v>General Practice</v>
      </c>
      <c r="J450">
        <f t="shared" ca="1" si="75"/>
        <v>3</v>
      </c>
      <c r="K450">
        <f t="shared" ca="1" si="76"/>
        <v>41</v>
      </c>
    </row>
    <row r="451" spans="1:11" x14ac:dyDescent="0.3">
      <c r="A451" s="1">
        <f t="shared" ref="A451:A504" ca="1" si="77">DATE(2023,1,1)+RANDBETWEEN(0,365)</f>
        <v>45028</v>
      </c>
      <c r="B451" t="str">
        <f t="shared" ref="B451:B504" si="78">"V"&amp;TEXT(ROW(A451)-1,"0000")</f>
        <v>V0450</v>
      </c>
      <c r="C451" t="str">
        <f t="shared" ref="C451:C504" ca="1" si="79">IF(RAND()&gt;0.5,"Male","Female")</f>
        <v>Male</v>
      </c>
      <c r="D451">
        <f t="shared" ref="D451:D504" ca="1" si="80">RANDBETWEEN(1,85)</f>
        <v>20</v>
      </c>
      <c r="E451" t="str">
        <f t="shared" ref="E451:E504" ca="1" si="81">CHOOSE(RANDBETWEEN(1,5),"White","African American","Asian","Pacific Islander","Native American")</f>
        <v>Native American</v>
      </c>
      <c r="F451" t="str">
        <f t="shared" ref="F451:F504" ca="1" si="82">IF(RAND()&gt;0.5,"AM","PM")</f>
        <v>AM</v>
      </c>
      <c r="G451" t="str">
        <f t="shared" ref="G451:G504" ca="1" si="83">IF(WEEKDAY(A451,2)&lt;=5,"Weekday","Weekend")</f>
        <v>Weekday</v>
      </c>
      <c r="H451" t="str">
        <f t="shared" ref="H451:H504" ca="1" si="84">IF(RAND()&gt;0.5,"Patient","Non-Patient")</f>
        <v>Non-Patient</v>
      </c>
      <c r="I451" t="str">
        <f t="shared" ref="I451:I504" ca="1" si="85">CHOOSE(RANDBETWEEN(1,5),"General Practice","Orthopedics","Cardiology","Physiotherapy","Neurology")</f>
        <v>Physiotherapy</v>
      </c>
      <c r="J451">
        <f t="shared" ref="J451:J504" ca="1" si="86">RANDBETWEEN(1,10)</f>
        <v>6</v>
      </c>
      <c r="K451">
        <f t="shared" ref="K451:K504" ca="1" si="87">RANDBETWEEN(10,90)</f>
        <v>17</v>
      </c>
    </row>
    <row r="452" spans="1:11" x14ac:dyDescent="0.3">
      <c r="A452" s="1">
        <f t="shared" ca="1" si="77"/>
        <v>45289</v>
      </c>
      <c r="B452" t="str">
        <f t="shared" si="78"/>
        <v>V0451</v>
      </c>
      <c r="C452" t="str">
        <f t="shared" ca="1" si="79"/>
        <v>Male</v>
      </c>
      <c r="D452">
        <f t="shared" ca="1" si="80"/>
        <v>15</v>
      </c>
      <c r="E452" t="str">
        <f t="shared" ca="1" si="81"/>
        <v>White</v>
      </c>
      <c r="F452" t="str">
        <f t="shared" ca="1" si="82"/>
        <v>PM</v>
      </c>
      <c r="G452" t="str">
        <f t="shared" ca="1" si="83"/>
        <v>Weekday</v>
      </c>
      <c r="H452" t="str">
        <f t="shared" ca="1" si="84"/>
        <v>Patient</v>
      </c>
      <c r="I452" t="str">
        <f t="shared" ca="1" si="85"/>
        <v>Neurology</v>
      </c>
      <c r="J452">
        <f t="shared" ca="1" si="86"/>
        <v>3</v>
      </c>
      <c r="K452">
        <f t="shared" ca="1" si="87"/>
        <v>80</v>
      </c>
    </row>
    <row r="453" spans="1:11" x14ac:dyDescent="0.3">
      <c r="A453" s="1">
        <f t="shared" ca="1" si="77"/>
        <v>45251</v>
      </c>
      <c r="B453" t="str">
        <f t="shared" si="78"/>
        <v>V0452</v>
      </c>
      <c r="C453" t="str">
        <f t="shared" ca="1" si="79"/>
        <v>Male</v>
      </c>
      <c r="D453">
        <f t="shared" ca="1" si="80"/>
        <v>25</v>
      </c>
      <c r="E453" t="str">
        <f t="shared" ca="1" si="81"/>
        <v>African American</v>
      </c>
      <c r="F453" t="str">
        <f t="shared" ca="1" si="82"/>
        <v>AM</v>
      </c>
      <c r="G453" t="str">
        <f t="shared" ca="1" si="83"/>
        <v>Weekday</v>
      </c>
      <c r="H453" t="str">
        <f t="shared" ca="1" si="84"/>
        <v>Non-Patient</v>
      </c>
      <c r="I453" t="str">
        <f t="shared" ca="1" si="85"/>
        <v>Cardiology</v>
      </c>
      <c r="J453">
        <f t="shared" ca="1" si="86"/>
        <v>8</v>
      </c>
      <c r="K453">
        <f t="shared" ca="1" si="87"/>
        <v>62</v>
      </c>
    </row>
    <row r="454" spans="1:11" x14ac:dyDescent="0.3">
      <c r="A454" s="1">
        <f t="shared" ca="1" si="77"/>
        <v>45268</v>
      </c>
      <c r="B454" t="str">
        <f t="shared" si="78"/>
        <v>V0453</v>
      </c>
      <c r="C454" t="str">
        <f t="shared" ca="1" si="79"/>
        <v>Female</v>
      </c>
      <c r="D454">
        <f t="shared" ca="1" si="80"/>
        <v>13</v>
      </c>
      <c r="E454" t="str">
        <f t="shared" ca="1" si="81"/>
        <v>White</v>
      </c>
      <c r="F454" t="str">
        <f t="shared" ca="1" si="82"/>
        <v>PM</v>
      </c>
      <c r="G454" t="str">
        <f t="shared" ca="1" si="83"/>
        <v>Weekday</v>
      </c>
      <c r="H454" t="str">
        <f t="shared" ca="1" si="84"/>
        <v>Patient</v>
      </c>
      <c r="I454" t="str">
        <f t="shared" ca="1" si="85"/>
        <v>General Practice</v>
      </c>
      <c r="J454">
        <f t="shared" ca="1" si="86"/>
        <v>8</v>
      </c>
      <c r="K454">
        <f t="shared" ca="1" si="87"/>
        <v>44</v>
      </c>
    </row>
    <row r="455" spans="1:11" x14ac:dyDescent="0.3">
      <c r="A455" s="1">
        <f t="shared" ca="1" si="77"/>
        <v>45050</v>
      </c>
      <c r="B455" t="str">
        <f t="shared" si="78"/>
        <v>V0454</v>
      </c>
      <c r="C455" t="str">
        <f t="shared" ca="1" si="79"/>
        <v>Male</v>
      </c>
      <c r="D455">
        <f t="shared" ca="1" si="80"/>
        <v>34</v>
      </c>
      <c r="E455" t="str">
        <f t="shared" ca="1" si="81"/>
        <v>Native American</v>
      </c>
      <c r="F455" t="str">
        <f t="shared" ca="1" si="82"/>
        <v>PM</v>
      </c>
      <c r="G455" t="str">
        <f t="shared" ca="1" si="83"/>
        <v>Weekday</v>
      </c>
      <c r="H455" t="str">
        <f t="shared" ca="1" si="84"/>
        <v>Non-Patient</v>
      </c>
      <c r="I455" t="str">
        <f t="shared" ca="1" si="85"/>
        <v>Orthopedics</v>
      </c>
      <c r="J455">
        <f t="shared" ca="1" si="86"/>
        <v>5</v>
      </c>
      <c r="K455">
        <f t="shared" ca="1" si="87"/>
        <v>86</v>
      </c>
    </row>
    <row r="456" spans="1:11" x14ac:dyDescent="0.3">
      <c r="A456" s="1">
        <f t="shared" ca="1" si="77"/>
        <v>45192</v>
      </c>
      <c r="B456" t="str">
        <f t="shared" si="78"/>
        <v>V0455</v>
      </c>
      <c r="C456" t="str">
        <f t="shared" ca="1" si="79"/>
        <v>Male</v>
      </c>
      <c r="D456">
        <f t="shared" ca="1" si="80"/>
        <v>56</v>
      </c>
      <c r="E456" t="str">
        <f t="shared" ca="1" si="81"/>
        <v>Asian</v>
      </c>
      <c r="F456" t="str">
        <f t="shared" ca="1" si="82"/>
        <v>AM</v>
      </c>
      <c r="G456" t="str">
        <f t="shared" ca="1" si="83"/>
        <v>Weekend</v>
      </c>
      <c r="H456" t="str">
        <f t="shared" ca="1" si="84"/>
        <v>Patient</v>
      </c>
      <c r="I456" t="str">
        <f t="shared" ca="1" si="85"/>
        <v>Neurology</v>
      </c>
      <c r="J456">
        <f t="shared" ca="1" si="86"/>
        <v>9</v>
      </c>
      <c r="K456">
        <f t="shared" ca="1" si="87"/>
        <v>70</v>
      </c>
    </row>
    <row r="457" spans="1:11" x14ac:dyDescent="0.3">
      <c r="A457" s="1">
        <f t="shared" ca="1" si="77"/>
        <v>45143</v>
      </c>
      <c r="B457" t="str">
        <f t="shared" si="78"/>
        <v>V0456</v>
      </c>
      <c r="C457" t="str">
        <f t="shared" ca="1" si="79"/>
        <v>Female</v>
      </c>
      <c r="D457">
        <f t="shared" ca="1" si="80"/>
        <v>56</v>
      </c>
      <c r="E457" t="str">
        <f t="shared" ca="1" si="81"/>
        <v>Native American</v>
      </c>
      <c r="F457" t="str">
        <f t="shared" ca="1" si="82"/>
        <v>PM</v>
      </c>
      <c r="G457" t="str">
        <f t="shared" ca="1" si="83"/>
        <v>Weekend</v>
      </c>
      <c r="H457" t="str">
        <f t="shared" ca="1" si="84"/>
        <v>Patient</v>
      </c>
      <c r="I457" t="str">
        <f t="shared" ca="1" si="85"/>
        <v>Orthopedics</v>
      </c>
      <c r="J457">
        <f t="shared" ca="1" si="86"/>
        <v>2</v>
      </c>
      <c r="K457">
        <f t="shared" ca="1" si="87"/>
        <v>41</v>
      </c>
    </row>
    <row r="458" spans="1:11" x14ac:dyDescent="0.3">
      <c r="A458" s="1">
        <f t="shared" ca="1" si="77"/>
        <v>45116</v>
      </c>
      <c r="B458" t="str">
        <f t="shared" si="78"/>
        <v>V0457</v>
      </c>
      <c r="C458" t="str">
        <f t="shared" ca="1" si="79"/>
        <v>Female</v>
      </c>
      <c r="D458">
        <f t="shared" ca="1" si="80"/>
        <v>24</v>
      </c>
      <c r="E458" t="str">
        <f t="shared" ca="1" si="81"/>
        <v>Native American</v>
      </c>
      <c r="F458" t="str">
        <f t="shared" ca="1" si="82"/>
        <v>AM</v>
      </c>
      <c r="G458" t="str">
        <f t="shared" ca="1" si="83"/>
        <v>Weekend</v>
      </c>
      <c r="H458" t="str">
        <f t="shared" ca="1" si="84"/>
        <v>Patient</v>
      </c>
      <c r="I458" t="str">
        <f t="shared" ca="1" si="85"/>
        <v>Physiotherapy</v>
      </c>
      <c r="J458">
        <f t="shared" ca="1" si="86"/>
        <v>3</v>
      </c>
      <c r="K458">
        <f t="shared" ca="1" si="87"/>
        <v>40</v>
      </c>
    </row>
    <row r="459" spans="1:11" x14ac:dyDescent="0.3">
      <c r="A459" s="1">
        <f t="shared" ca="1" si="77"/>
        <v>45282</v>
      </c>
      <c r="B459" t="str">
        <f t="shared" si="78"/>
        <v>V0458</v>
      </c>
      <c r="C459" t="str">
        <f t="shared" ca="1" si="79"/>
        <v>Male</v>
      </c>
      <c r="D459">
        <f t="shared" ca="1" si="80"/>
        <v>10</v>
      </c>
      <c r="E459" t="str">
        <f t="shared" ca="1" si="81"/>
        <v>African American</v>
      </c>
      <c r="F459" t="str">
        <f t="shared" ca="1" si="82"/>
        <v>AM</v>
      </c>
      <c r="G459" t="str">
        <f t="shared" ca="1" si="83"/>
        <v>Weekday</v>
      </c>
      <c r="H459" t="str">
        <f t="shared" ca="1" si="84"/>
        <v>Non-Patient</v>
      </c>
      <c r="I459" t="str">
        <f t="shared" ca="1" si="85"/>
        <v>Neurology</v>
      </c>
      <c r="J459">
        <f t="shared" ca="1" si="86"/>
        <v>4</v>
      </c>
      <c r="K459">
        <f t="shared" ca="1" si="87"/>
        <v>64</v>
      </c>
    </row>
    <row r="460" spans="1:11" x14ac:dyDescent="0.3">
      <c r="A460" s="1">
        <f t="shared" ca="1" si="77"/>
        <v>45137</v>
      </c>
      <c r="B460" t="str">
        <f t="shared" si="78"/>
        <v>V0459</v>
      </c>
      <c r="C460" t="str">
        <f t="shared" ca="1" si="79"/>
        <v>Male</v>
      </c>
      <c r="D460">
        <f t="shared" ca="1" si="80"/>
        <v>8</v>
      </c>
      <c r="E460" t="str">
        <f t="shared" ca="1" si="81"/>
        <v>White</v>
      </c>
      <c r="F460" t="str">
        <f t="shared" ca="1" si="82"/>
        <v>AM</v>
      </c>
      <c r="G460" t="str">
        <f t="shared" ca="1" si="83"/>
        <v>Weekend</v>
      </c>
      <c r="H460" t="str">
        <f t="shared" ca="1" si="84"/>
        <v>Non-Patient</v>
      </c>
      <c r="I460" t="str">
        <f t="shared" ca="1" si="85"/>
        <v>Cardiology</v>
      </c>
      <c r="J460">
        <f t="shared" ca="1" si="86"/>
        <v>5</v>
      </c>
      <c r="K460">
        <f t="shared" ca="1" si="87"/>
        <v>18</v>
      </c>
    </row>
    <row r="461" spans="1:11" x14ac:dyDescent="0.3">
      <c r="A461" s="1">
        <f t="shared" ca="1" si="77"/>
        <v>44979</v>
      </c>
      <c r="B461" t="str">
        <f t="shared" si="78"/>
        <v>V0460</v>
      </c>
      <c r="C461" t="str">
        <f t="shared" ca="1" si="79"/>
        <v>Female</v>
      </c>
      <c r="D461">
        <f t="shared" ca="1" si="80"/>
        <v>85</v>
      </c>
      <c r="E461" t="str">
        <f t="shared" ca="1" si="81"/>
        <v>Native American</v>
      </c>
      <c r="F461" t="str">
        <f t="shared" ca="1" si="82"/>
        <v>AM</v>
      </c>
      <c r="G461" t="str">
        <f t="shared" ca="1" si="83"/>
        <v>Weekday</v>
      </c>
      <c r="H461" t="str">
        <f t="shared" ca="1" si="84"/>
        <v>Non-Patient</v>
      </c>
      <c r="I461" t="str">
        <f t="shared" ca="1" si="85"/>
        <v>General Practice</v>
      </c>
      <c r="J461">
        <f t="shared" ca="1" si="86"/>
        <v>1</v>
      </c>
      <c r="K461">
        <f t="shared" ca="1" si="87"/>
        <v>65</v>
      </c>
    </row>
    <row r="462" spans="1:11" x14ac:dyDescent="0.3">
      <c r="A462" s="1">
        <f t="shared" ca="1" si="77"/>
        <v>45252</v>
      </c>
      <c r="B462" t="str">
        <f t="shared" si="78"/>
        <v>V0461</v>
      </c>
      <c r="C462" t="str">
        <f t="shared" ca="1" si="79"/>
        <v>Female</v>
      </c>
      <c r="D462">
        <f t="shared" ca="1" si="80"/>
        <v>12</v>
      </c>
      <c r="E462" t="str">
        <f t="shared" ca="1" si="81"/>
        <v>African American</v>
      </c>
      <c r="F462" t="str">
        <f t="shared" ca="1" si="82"/>
        <v>PM</v>
      </c>
      <c r="G462" t="str">
        <f t="shared" ca="1" si="83"/>
        <v>Weekday</v>
      </c>
      <c r="H462" t="str">
        <f t="shared" ca="1" si="84"/>
        <v>Non-Patient</v>
      </c>
      <c r="I462" t="str">
        <f t="shared" ca="1" si="85"/>
        <v>Orthopedics</v>
      </c>
      <c r="J462">
        <f t="shared" ca="1" si="86"/>
        <v>1</v>
      </c>
      <c r="K462">
        <f t="shared" ca="1" si="87"/>
        <v>66</v>
      </c>
    </row>
    <row r="463" spans="1:11" x14ac:dyDescent="0.3">
      <c r="A463" s="1">
        <f t="shared" ca="1" si="77"/>
        <v>44997</v>
      </c>
      <c r="B463" t="str">
        <f t="shared" si="78"/>
        <v>V0462</v>
      </c>
      <c r="C463" t="str">
        <f t="shared" ca="1" si="79"/>
        <v>Male</v>
      </c>
      <c r="D463">
        <f t="shared" ca="1" si="80"/>
        <v>37</v>
      </c>
      <c r="E463" t="str">
        <f t="shared" ca="1" si="81"/>
        <v>Pacific Islander</v>
      </c>
      <c r="F463" t="str">
        <f t="shared" ca="1" si="82"/>
        <v>PM</v>
      </c>
      <c r="G463" t="str">
        <f t="shared" ca="1" si="83"/>
        <v>Weekend</v>
      </c>
      <c r="H463" t="str">
        <f t="shared" ca="1" si="84"/>
        <v>Non-Patient</v>
      </c>
      <c r="I463" t="str">
        <f t="shared" ca="1" si="85"/>
        <v>Physiotherapy</v>
      </c>
      <c r="J463">
        <f t="shared" ca="1" si="86"/>
        <v>2</v>
      </c>
      <c r="K463">
        <f t="shared" ca="1" si="87"/>
        <v>42</v>
      </c>
    </row>
    <row r="464" spans="1:11" x14ac:dyDescent="0.3">
      <c r="A464" s="1">
        <f t="shared" ca="1" si="77"/>
        <v>45250</v>
      </c>
      <c r="B464" t="str">
        <f t="shared" si="78"/>
        <v>V0463</v>
      </c>
      <c r="C464" t="str">
        <f t="shared" ca="1" si="79"/>
        <v>Male</v>
      </c>
      <c r="D464">
        <f t="shared" ca="1" si="80"/>
        <v>15</v>
      </c>
      <c r="E464" t="str">
        <f t="shared" ca="1" si="81"/>
        <v>Native American</v>
      </c>
      <c r="F464" t="str">
        <f t="shared" ca="1" si="82"/>
        <v>AM</v>
      </c>
      <c r="G464" t="str">
        <f t="shared" ca="1" si="83"/>
        <v>Weekday</v>
      </c>
      <c r="H464" t="str">
        <f t="shared" ca="1" si="84"/>
        <v>Patient</v>
      </c>
      <c r="I464" t="str">
        <f t="shared" ca="1" si="85"/>
        <v>Physiotherapy</v>
      </c>
      <c r="J464">
        <f t="shared" ca="1" si="86"/>
        <v>8</v>
      </c>
      <c r="K464">
        <f t="shared" ca="1" si="87"/>
        <v>22</v>
      </c>
    </row>
    <row r="465" spans="1:11" x14ac:dyDescent="0.3">
      <c r="A465" s="1">
        <f t="shared" ca="1" si="77"/>
        <v>45085</v>
      </c>
      <c r="B465" t="str">
        <f t="shared" si="78"/>
        <v>V0464</v>
      </c>
      <c r="C465" t="str">
        <f t="shared" ca="1" si="79"/>
        <v>Male</v>
      </c>
      <c r="D465">
        <f t="shared" ca="1" si="80"/>
        <v>20</v>
      </c>
      <c r="E465" t="str">
        <f t="shared" ca="1" si="81"/>
        <v>White</v>
      </c>
      <c r="F465" t="str">
        <f t="shared" ca="1" si="82"/>
        <v>PM</v>
      </c>
      <c r="G465" t="str">
        <f t="shared" ca="1" si="83"/>
        <v>Weekday</v>
      </c>
      <c r="H465" t="str">
        <f t="shared" ca="1" si="84"/>
        <v>Patient</v>
      </c>
      <c r="I465" t="str">
        <f t="shared" ca="1" si="85"/>
        <v>Physiotherapy</v>
      </c>
      <c r="J465">
        <f t="shared" ca="1" si="86"/>
        <v>5</v>
      </c>
      <c r="K465">
        <f t="shared" ca="1" si="87"/>
        <v>40</v>
      </c>
    </row>
    <row r="466" spans="1:11" x14ac:dyDescent="0.3">
      <c r="A466" s="1">
        <f t="shared" ca="1" si="77"/>
        <v>45234</v>
      </c>
      <c r="B466" t="str">
        <f t="shared" si="78"/>
        <v>V0465</v>
      </c>
      <c r="C466" t="str">
        <f t="shared" ca="1" si="79"/>
        <v>Female</v>
      </c>
      <c r="D466">
        <f t="shared" ca="1" si="80"/>
        <v>42</v>
      </c>
      <c r="E466" t="str">
        <f t="shared" ca="1" si="81"/>
        <v>Pacific Islander</v>
      </c>
      <c r="F466" t="str">
        <f t="shared" ca="1" si="82"/>
        <v>AM</v>
      </c>
      <c r="G466" t="str">
        <f t="shared" ca="1" si="83"/>
        <v>Weekend</v>
      </c>
      <c r="H466" t="str">
        <f t="shared" ca="1" si="84"/>
        <v>Patient</v>
      </c>
      <c r="I466" t="str">
        <f t="shared" ca="1" si="85"/>
        <v>General Practice</v>
      </c>
      <c r="J466">
        <f t="shared" ca="1" si="86"/>
        <v>4</v>
      </c>
      <c r="K466">
        <f t="shared" ca="1" si="87"/>
        <v>77</v>
      </c>
    </row>
    <row r="467" spans="1:11" x14ac:dyDescent="0.3">
      <c r="A467" s="1">
        <f t="shared" ca="1" si="77"/>
        <v>45158</v>
      </c>
      <c r="B467" t="str">
        <f t="shared" si="78"/>
        <v>V0466</v>
      </c>
      <c r="C467" t="str">
        <f t="shared" ca="1" si="79"/>
        <v>Male</v>
      </c>
      <c r="D467">
        <f t="shared" ca="1" si="80"/>
        <v>31</v>
      </c>
      <c r="E467" t="str">
        <f t="shared" ca="1" si="81"/>
        <v>African American</v>
      </c>
      <c r="F467" t="str">
        <f t="shared" ca="1" si="82"/>
        <v>AM</v>
      </c>
      <c r="G467" t="str">
        <f t="shared" ca="1" si="83"/>
        <v>Weekend</v>
      </c>
      <c r="H467" t="str">
        <f t="shared" ca="1" si="84"/>
        <v>Non-Patient</v>
      </c>
      <c r="I467" t="str">
        <f t="shared" ca="1" si="85"/>
        <v>General Practice</v>
      </c>
      <c r="J467">
        <f t="shared" ca="1" si="86"/>
        <v>1</v>
      </c>
      <c r="K467">
        <f t="shared" ca="1" si="87"/>
        <v>25</v>
      </c>
    </row>
    <row r="468" spans="1:11" x14ac:dyDescent="0.3">
      <c r="A468" s="1">
        <f t="shared" ca="1" si="77"/>
        <v>44984</v>
      </c>
      <c r="B468" t="str">
        <f t="shared" si="78"/>
        <v>V0467</v>
      </c>
      <c r="C468" t="str">
        <f t="shared" ca="1" si="79"/>
        <v>Female</v>
      </c>
      <c r="D468">
        <f t="shared" ca="1" si="80"/>
        <v>66</v>
      </c>
      <c r="E468" t="str">
        <f t="shared" ca="1" si="81"/>
        <v>Asian</v>
      </c>
      <c r="F468" t="str">
        <f t="shared" ca="1" si="82"/>
        <v>AM</v>
      </c>
      <c r="G468" t="str">
        <f t="shared" ca="1" si="83"/>
        <v>Weekday</v>
      </c>
      <c r="H468" t="str">
        <f t="shared" ca="1" si="84"/>
        <v>Patient</v>
      </c>
      <c r="I468" t="str">
        <f t="shared" ca="1" si="85"/>
        <v>Physiotherapy</v>
      </c>
      <c r="J468">
        <f t="shared" ca="1" si="86"/>
        <v>10</v>
      </c>
      <c r="K468">
        <f t="shared" ca="1" si="87"/>
        <v>67</v>
      </c>
    </row>
    <row r="469" spans="1:11" x14ac:dyDescent="0.3">
      <c r="A469" s="1">
        <f t="shared" ca="1" si="77"/>
        <v>45061</v>
      </c>
      <c r="B469" t="str">
        <f t="shared" si="78"/>
        <v>V0468</v>
      </c>
      <c r="C469" t="str">
        <f t="shared" ca="1" si="79"/>
        <v>Female</v>
      </c>
      <c r="D469">
        <f t="shared" ca="1" si="80"/>
        <v>45</v>
      </c>
      <c r="E469" t="str">
        <f t="shared" ca="1" si="81"/>
        <v>Asian</v>
      </c>
      <c r="F469" t="str">
        <f t="shared" ca="1" si="82"/>
        <v>PM</v>
      </c>
      <c r="G469" t="str">
        <f t="shared" ca="1" si="83"/>
        <v>Weekday</v>
      </c>
      <c r="H469" t="str">
        <f t="shared" ca="1" si="84"/>
        <v>Patient</v>
      </c>
      <c r="I469" t="str">
        <f t="shared" ca="1" si="85"/>
        <v>Orthopedics</v>
      </c>
      <c r="J469">
        <f t="shared" ca="1" si="86"/>
        <v>5</v>
      </c>
      <c r="K469">
        <f t="shared" ca="1" si="87"/>
        <v>29</v>
      </c>
    </row>
    <row r="470" spans="1:11" x14ac:dyDescent="0.3">
      <c r="A470" s="1">
        <f t="shared" ca="1" si="77"/>
        <v>44964</v>
      </c>
      <c r="B470" t="str">
        <f t="shared" si="78"/>
        <v>V0469</v>
      </c>
      <c r="C470" t="str">
        <f t="shared" ca="1" si="79"/>
        <v>Female</v>
      </c>
      <c r="D470">
        <f t="shared" ca="1" si="80"/>
        <v>63</v>
      </c>
      <c r="E470" t="str">
        <f t="shared" ca="1" si="81"/>
        <v>Pacific Islander</v>
      </c>
      <c r="F470" t="str">
        <f t="shared" ca="1" si="82"/>
        <v>PM</v>
      </c>
      <c r="G470" t="str">
        <f t="shared" ca="1" si="83"/>
        <v>Weekday</v>
      </c>
      <c r="H470" t="str">
        <f t="shared" ca="1" si="84"/>
        <v>Non-Patient</v>
      </c>
      <c r="I470" t="str">
        <f t="shared" ca="1" si="85"/>
        <v>Orthopedics</v>
      </c>
      <c r="J470">
        <f t="shared" ca="1" si="86"/>
        <v>10</v>
      </c>
      <c r="K470">
        <f t="shared" ca="1" si="87"/>
        <v>71</v>
      </c>
    </row>
    <row r="471" spans="1:11" x14ac:dyDescent="0.3">
      <c r="A471" s="1">
        <f t="shared" ca="1" si="77"/>
        <v>45102</v>
      </c>
      <c r="B471" t="str">
        <f t="shared" si="78"/>
        <v>V0470</v>
      </c>
      <c r="C471" t="str">
        <f t="shared" ca="1" si="79"/>
        <v>Female</v>
      </c>
      <c r="D471">
        <f t="shared" ca="1" si="80"/>
        <v>84</v>
      </c>
      <c r="E471" t="str">
        <f t="shared" ca="1" si="81"/>
        <v>Pacific Islander</v>
      </c>
      <c r="F471" t="str">
        <f t="shared" ca="1" si="82"/>
        <v>PM</v>
      </c>
      <c r="G471" t="str">
        <f t="shared" ca="1" si="83"/>
        <v>Weekend</v>
      </c>
      <c r="H471" t="str">
        <f t="shared" ca="1" si="84"/>
        <v>Non-Patient</v>
      </c>
      <c r="I471" t="str">
        <f t="shared" ca="1" si="85"/>
        <v>Neurology</v>
      </c>
      <c r="J471">
        <f t="shared" ca="1" si="86"/>
        <v>7</v>
      </c>
      <c r="K471">
        <f t="shared" ca="1" si="87"/>
        <v>19</v>
      </c>
    </row>
    <row r="472" spans="1:11" x14ac:dyDescent="0.3">
      <c r="A472" s="1">
        <f t="shared" ca="1" si="77"/>
        <v>44944</v>
      </c>
      <c r="B472" t="str">
        <f t="shared" si="78"/>
        <v>V0471</v>
      </c>
      <c r="C472" t="str">
        <f t="shared" ca="1" si="79"/>
        <v>Male</v>
      </c>
      <c r="D472">
        <f t="shared" ca="1" si="80"/>
        <v>43</v>
      </c>
      <c r="E472" t="str">
        <f t="shared" ca="1" si="81"/>
        <v>White</v>
      </c>
      <c r="F472" t="str">
        <f t="shared" ca="1" si="82"/>
        <v>AM</v>
      </c>
      <c r="G472" t="str">
        <f t="shared" ca="1" si="83"/>
        <v>Weekday</v>
      </c>
      <c r="H472" t="str">
        <f t="shared" ca="1" si="84"/>
        <v>Non-Patient</v>
      </c>
      <c r="I472" t="str">
        <f t="shared" ca="1" si="85"/>
        <v>General Practice</v>
      </c>
      <c r="J472">
        <f t="shared" ca="1" si="86"/>
        <v>5</v>
      </c>
      <c r="K472">
        <f t="shared" ca="1" si="87"/>
        <v>13</v>
      </c>
    </row>
    <row r="473" spans="1:11" x14ac:dyDescent="0.3">
      <c r="A473" s="1">
        <f t="shared" ca="1" si="77"/>
        <v>45053</v>
      </c>
      <c r="B473" t="str">
        <f t="shared" si="78"/>
        <v>V0472</v>
      </c>
      <c r="C473" t="str">
        <f t="shared" ca="1" si="79"/>
        <v>Male</v>
      </c>
      <c r="D473">
        <f t="shared" ca="1" si="80"/>
        <v>26</v>
      </c>
      <c r="E473" t="str">
        <f t="shared" ca="1" si="81"/>
        <v>Asian</v>
      </c>
      <c r="F473" t="str">
        <f t="shared" ca="1" si="82"/>
        <v>AM</v>
      </c>
      <c r="G473" t="str">
        <f t="shared" ca="1" si="83"/>
        <v>Weekend</v>
      </c>
      <c r="H473" t="str">
        <f t="shared" ca="1" si="84"/>
        <v>Non-Patient</v>
      </c>
      <c r="I473" t="str">
        <f t="shared" ca="1" si="85"/>
        <v>Neurology</v>
      </c>
      <c r="J473">
        <f t="shared" ca="1" si="86"/>
        <v>10</v>
      </c>
      <c r="K473">
        <f t="shared" ca="1" si="87"/>
        <v>67</v>
      </c>
    </row>
    <row r="474" spans="1:11" x14ac:dyDescent="0.3">
      <c r="A474" s="1">
        <f t="shared" ca="1" si="77"/>
        <v>45049</v>
      </c>
      <c r="B474" t="str">
        <f t="shared" si="78"/>
        <v>V0473</v>
      </c>
      <c r="C474" t="str">
        <f t="shared" ca="1" si="79"/>
        <v>Female</v>
      </c>
      <c r="D474">
        <f t="shared" ca="1" si="80"/>
        <v>38</v>
      </c>
      <c r="E474" t="str">
        <f t="shared" ca="1" si="81"/>
        <v>Native American</v>
      </c>
      <c r="F474" t="str">
        <f t="shared" ca="1" si="82"/>
        <v>PM</v>
      </c>
      <c r="G474" t="str">
        <f t="shared" ca="1" si="83"/>
        <v>Weekday</v>
      </c>
      <c r="H474" t="str">
        <f t="shared" ca="1" si="84"/>
        <v>Non-Patient</v>
      </c>
      <c r="I474" t="str">
        <f t="shared" ca="1" si="85"/>
        <v>Cardiology</v>
      </c>
      <c r="J474">
        <f t="shared" ca="1" si="86"/>
        <v>5</v>
      </c>
      <c r="K474">
        <f t="shared" ca="1" si="87"/>
        <v>48</v>
      </c>
    </row>
    <row r="475" spans="1:11" x14ac:dyDescent="0.3">
      <c r="A475" s="1">
        <f t="shared" ca="1" si="77"/>
        <v>45033</v>
      </c>
      <c r="B475" t="str">
        <f t="shared" si="78"/>
        <v>V0474</v>
      </c>
      <c r="C475" t="str">
        <f t="shared" ca="1" si="79"/>
        <v>Female</v>
      </c>
      <c r="D475">
        <f t="shared" ca="1" si="80"/>
        <v>76</v>
      </c>
      <c r="E475" t="str">
        <f t="shared" ca="1" si="81"/>
        <v>African American</v>
      </c>
      <c r="F475" t="str">
        <f t="shared" ca="1" si="82"/>
        <v>PM</v>
      </c>
      <c r="G475" t="str">
        <f t="shared" ca="1" si="83"/>
        <v>Weekday</v>
      </c>
      <c r="H475" t="str">
        <f t="shared" ca="1" si="84"/>
        <v>Non-Patient</v>
      </c>
      <c r="I475" t="str">
        <f t="shared" ca="1" si="85"/>
        <v>Orthopedics</v>
      </c>
      <c r="J475">
        <f t="shared" ca="1" si="86"/>
        <v>4</v>
      </c>
      <c r="K475">
        <f t="shared" ca="1" si="87"/>
        <v>36</v>
      </c>
    </row>
    <row r="476" spans="1:11" x14ac:dyDescent="0.3">
      <c r="A476" s="1">
        <f t="shared" ca="1" si="77"/>
        <v>45255</v>
      </c>
      <c r="B476" t="str">
        <f t="shared" si="78"/>
        <v>V0475</v>
      </c>
      <c r="C476" t="str">
        <f t="shared" ca="1" si="79"/>
        <v>Female</v>
      </c>
      <c r="D476">
        <f t="shared" ca="1" si="80"/>
        <v>76</v>
      </c>
      <c r="E476" t="str">
        <f t="shared" ca="1" si="81"/>
        <v>Asian</v>
      </c>
      <c r="F476" t="str">
        <f t="shared" ca="1" si="82"/>
        <v>AM</v>
      </c>
      <c r="G476" t="str">
        <f t="shared" ca="1" si="83"/>
        <v>Weekend</v>
      </c>
      <c r="H476" t="str">
        <f t="shared" ca="1" si="84"/>
        <v>Non-Patient</v>
      </c>
      <c r="I476" t="str">
        <f t="shared" ca="1" si="85"/>
        <v>Neurology</v>
      </c>
      <c r="J476">
        <f t="shared" ca="1" si="86"/>
        <v>4</v>
      </c>
      <c r="K476">
        <f t="shared" ca="1" si="87"/>
        <v>73</v>
      </c>
    </row>
    <row r="477" spans="1:11" x14ac:dyDescent="0.3">
      <c r="A477" s="1">
        <f t="shared" ca="1" si="77"/>
        <v>45234</v>
      </c>
      <c r="B477" t="str">
        <f t="shared" si="78"/>
        <v>V0476</v>
      </c>
      <c r="C477" t="str">
        <f t="shared" ca="1" si="79"/>
        <v>Female</v>
      </c>
      <c r="D477">
        <f t="shared" ca="1" si="80"/>
        <v>27</v>
      </c>
      <c r="E477" t="str">
        <f t="shared" ca="1" si="81"/>
        <v>White</v>
      </c>
      <c r="F477" t="str">
        <f t="shared" ca="1" si="82"/>
        <v>PM</v>
      </c>
      <c r="G477" t="str">
        <f t="shared" ca="1" si="83"/>
        <v>Weekend</v>
      </c>
      <c r="H477" t="str">
        <f t="shared" ca="1" si="84"/>
        <v>Non-Patient</v>
      </c>
      <c r="I477" t="str">
        <f t="shared" ca="1" si="85"/>
        <v>Orthopedics</v>
      </c>
      <c r="J477">
        <f t="shared" ca="1" si="86"/>
        <v>7</v>
      </c>
      <c r="K477">
        <f t="shared" ca="1" si="87"/>
        <v>10</v>
      </c>
    </row>
    <row r="478" spans="1:11" x14ac:dyDescent="0.3">
      <c r="A478" s="1">
        <f t="shared" ca="1" si="77"/>
        <v>45006</v>
      </c>
      <c r="B478" t="str">
        <f t="shared" si="78"/>
        <v>V0477</v>
      </c>
      <c r="C478" t="str">
        <f t="shared" ca="1" si="79"/>
        <v>Male</v>
      </c>
      <c r="D478">
        <f t="shared" ca="1" si="80"/>
        <v>67</v>
      </c>
      <c r="E478" t="str">
        <f t="shared" ca="1" si="81"/>
        <v>White</v>
      </c>
      <c r="F478" t="str">
        <f t="shared" ca="1" si="82"/>
        <v>PM</v>
      </c>
      <c r="G478" t="str">
        <f t="shared" ca="1" si="83"/>
        <v>Weekday</v>
      </c>
      <c r="H478" t="str">
        <f t="shared" ca="1" si="84"/>
        <v>Non-Patient</v>
      </c>
      <c r="I478" t="str">
        <f t="shared" ca="1" si="85"/>
        <v>Neurology</v>
      </c>
      <c r="J478">
        <f t="shared" ca="1" si="86"/>
        <v>10</v>
      </c>
      <c r="K478">
        <f t="shared" ca="1" si="87"/>
        <v>48</v>
      </c>
    </row>
    <row r="479" spans="1:11" x14ac:dyDescent="0.3">
      <c r="A479" s="1">
        <f t="shared" ca="1" si="77"/>
        <v>45265</v>
      </c>
      <c r="B479" t="str">
        <f t="shared" si="78"/>
        <v>V0478</v>
      </c>
      <c r="C479" t="str">
        <f t="shared" ca="1" si="79"/>
        <v>Female</v>
      </c>
      <c r="D479">
        <f t="shared" ca="1" si="80"/>
        <v>64</v>
      </c>
      <c r="E479" t="str">
        <f t="shared" ca="1" si="81"/>
        <v>Asian</v>
      </c>
      <c r="F479" t="str">
        <f t="shared" ca="1" si="82"/>
        <v>AM</v>
      </c>
      <c r="G479" t="str">
        <f t="shared" ca="1" si="83"/>
        <v>Weekday</v>
      </c>
      <c r="H479" t="str">
        <f t="shared" ca="1" si="84"/>
        <v>Non-Patient</v>
      </c>
      <c r="I479" t="str">
        <f t="shared" ca="1" si="85"/>
        <v>General Practice</v>
      </c>
      <c r="J479">
        <f t="shared" ca="1" si="86"/>
        <v>1</v>
      </c>
      <c r="K479">
        <f t="shared" ca="1" si="87"/>
        <v>85</v>
      </c>
    </row>
    <row r="480" spans="1:11" x14ac:dyDescent="0.3">
      <c r="A480" s="1">
        <f t="shared" ca="1" si="77"/>
        <v>45094</v>
      </c>
      <c r="B480" t="str">
        <f t="shared" si="78"/>
        <v>V0479</v>
      </c>
      <c r="C480" t="str">
        <f t="shared" ca="1" si="79"/>
        <v>Female</v>
      </c>
      <c r="D480">
        <f t="shared" ca="1" si="80"/>
        <v>62</v>
      </c>
      <c r="E480" t="str">
        <f t="shared" ca="1" si="81"/>
        <v>White</v>
      </c>
      <c r="F480" t="str">
        <f t="shared" ca="1" si="82"/>
        <v>AM</v>
      </c>
      <c r="G480" t="str">
        <f t="shared" ca="1" si="83"/>
        <v>Weekend</v>
      </c>
      <c r="H480" t="str">
        <f t="shared" ca="1" si="84"/>
        <v>Non-Patient</v>
      </c>
      <c r="I480" t="str">
        <f t="shared" ca="1" si="85"/>
        <v>Physiotherapy</v>
      </c>
      <c r="J480">
        <f t="shared" ca="1" si="86"/>
        <v>1</v>
      </c>
      <c r="K480">
        <f t="shared" ca="1" si="87"/>
        <v>57</v>
      </c>
    </row>
    <row r="481" spans="1:11" x14ac:dyDescent="0.3">
      <c r="A481" s="1">
        <f t="shared" ca="1" si="77"/>
        <v>45031</v>
      </c>
      <c r="B481" t="str">
        <f t="shared" si="78"/>
        <v>V0480</v>
      </c>
      <c r="C481" t="str">
        <f t="shared" ca="1" si="79"/>
        <v>Male</v>
      </c>
      <c r="D481">
        <f t="shared" ca="1" si="80"/>
        <v>33</v>
      </c>
      <c r="E481" t="str">
        <f t="shared" ca="1" si="81"/>
        <v>African American</v>
      </c>
      <c r="F481" t="str">
        <f t="shared" ca="1" si="82"/>
        <v>AM</v>
      </c>
      <c r="G481" t="str">
        <f t="shared" ca="1" si="83"/>
        <v>Weekend</v>
      </c>
      <c r="H481" t="str">
        <f t="shared" ca="1" si="84"/>
        <v>Patient</v>
      </c>
      <c r="I481" t="str">
        <f t="shared" ca="1" si="85"/>
        <v>Orthopedics</v>
      </c>
      <c r="J481">
        <f t="shared" ca="1" si="86"/>
        <v>5</v>
      </c>
      <c r="K481">
        <f t="shared" ca="1" si="87"/>
        <v>17</v>
      </c>
    </row>
    <row r="482" spans="1:11" x14ac:dyDescent="0.3">
      <c r="A482" s="1">
        <f t="shared" ca="1" si="77"/>
        <v>44930</v>
      </c>
      <c r="B482" t="str">
        <f t="shared" si="78"/>
        <v>V0481</v>
      </c>
      <c r="C482" t="str">
        <f t="shared" ca="1" si="79"/>
        <v>Male</v>
      </c>
      <c r="D482">
        <f t="shared" ca="1" si="80"/>
        <v>56</v>
      </c>
      <c r="E482" t="str">
        <f t="shared" ca="1" si="81"/>
        <v>Asian</v>
      </c>
      <c r="F482" t="str">
        <f t="shared" ca="1" si="82"/>
        <v>PM</v>
      </c>
      <c r="G482" t="str">
        <f t="shared" ca="1" si="83"/>
        <v>Weekday</v>
      </c>
      <c r="H482" t="str">
        <f t="shared" ca="1" si="84"/>
        <v>Patient</v>
      </c>
      <c r="I482" t="str">
        <f t="shared" ca="1" si="85"/>
        <v>Orthopedics</v>
      </c>
      <c r="J482">
        <f t="shared" ca="1" si="86"/>
        <v>2</v>
      </c>
      <c r="K482">
        <f t="shared" ca="1" si="87"/>
        <v>42</v>
      </c>
    </row>
    <row r="483" spans="1:11" x14ac:dyDescent="0.3">
      <c r="A483" s="1">
        <f t="shared" ca="1" si="77"/>
        <v>44979</v>
      </c>
      <c r="B483" t="str">
        <f t="shared" si="78"/>
        <v>V0482</v>
      </c>
      <c r="C483" t="str">
        <f t="shared" ca="1" si="79"/>
        <v>Female</v>
      </c>
      <c r="D483">
        <f t="shared" ca="1" si="80"/>
        <v>50</v>
      </c>
      <c r="E483" t="str">
        <f t="shared" ca="1" si="81"/>
        <v>Pacific Islander</v>
      </c>
      <c r="F483" t="str">
        <f t="shared" ca="1" si="82"/>
        <v>PM</v>
      </c>
      <c r="G483" t="str">
        <f t="shared" ca="1" si="83"/>
        <v>Weekday</v>
      </c>
      <c r="H483" t="str">
        <f t="shared" ca="1" si="84"/>
        <v>Non-Patient</v>
      </c>
      <c r="I483" t="str">
        <f t="shared" ca="1" si="85"/>
        <v>Orthopedics</v>
      </c>
      <c r="J483">
        <f t="shared" ca="1" si="86"/>
        <v>10</v>
      </c>
      <c r="K483">
        <f t="shared" ca="1" si="87"/>
        <v>90</v>
      </c>
    </row>
    <row r="484" spans="1:11" x14ac:dyDescent="0.3">
      <c r="A484" s="1">
        <f t="shared" ca="1" si="77"/>
        <v>44995</v>
      </c>
      <c r="B484" t="str">
        <f t="shared" si="78"/>
        <v>V0483</v>
      </c>
      <c r="C484" t="str">
        <f t="shared" ca="1" si="79"/>
        <v>Female</v>
      </c>
      <c r="D484">
        <f t="shared" ca="1" si="80"/>
        <v>55</v>
      </c>
      <c r="E484" t="str">
        <f t="shared" ca="1" si="81"/>
        <v>Pacific Islander</v>
      </c>
      <c r="F484" t="str">
        <f t="shared" ca="1" si="82"/>
        <v>PM</v>
      </c>
      <c r="G484" t="str">
        <f t="shared" ca="1" si="83"/>
        <v>Weekday</v>
      </c>
      <c r="H484" t="str">
        <f t="shared" ca="1" si="84"/>
        <v>Non-Patient</v>
      </c>
      <c r="I484" t="str">
        <f t="shared" ca="1" si="85"/>
        <v>Physiotherapy</v>
      </c>
      <c r="J484">
        <f t="shared" ca="1" si="86"/>
        <v>6</v>
      </c>
      <c r="K484">
        <f t="shared" ca="1" si="87"/>
        <v>90</v>
      </c>
    </row>
    <row r="485" spans="1:11" x14ac:dyDescent="0.3">
      <c r="A485" s="1">
        <f t="shared" ca="1" si="77"/>
        <v>45022</v>
      </c>
      <c r="B485" t="str">
        <f t="shared" si="78"/>
        <v>V0484</v>
      </c>
      <c r="C485" t="str">
        <f t="shared" ca="1" si="79"/>
        <v>Male</v>
      </c>
      <c r="D485">
        <f t="shared" ca="1" si="80"/>
        <v>69</v>
      </c>
      <c r="E485" t="str">
        <f t="shared" ca="1" si="81"/>
        <v>African American</v>
      </c>
      <c r="F485" t="str">
        <f t="shared" ca="1" si="82"/>
        <v>PM</v>
      </c>
      <c r="G485" t="str">
        <f t="shared" ca="1" si="83"/>
        <v>Weekday</v>
      </c>
      <c r="H485" t="str">
        <f t="shared" ca="1" si="84"/>
        <v>Patient</v>
      </c>
      <c r="I485" t="str">
        <f t="shared" ca="1" si="85"/>
        <v>Neurology</v>
      </c>
      <c r="J485">
        <f t="shared" ca="1" si="86"/>
        <v>10</v>
      </c>
      <c r="K485">
        <f t="shared" ca="1" si="87"/>
        <v>10</v>
      </c>
    </row>
    <row r="486" spans="1:11" x14ac:dyDescent="0.3">
      <c r="A486" s="1">
        <f t="shared" ca="1" si="77"/>
        <v>44965</v>
      </c>
      <c r="B486" t="str">
        <f t="shared" si="78"/>
        <v>V0485</v>
      </c>
      <c r="C486" t="str">
        <f t="shared" ca="1" si="79"/>
        <v>Female</v>
      </c>
      <c r="D486">
        <f t="shared" ca="1" si="80"/>
        <v>77</v>
      </c>
      <c r="E486" t="str">
        <f t="shared" ca="1" si="81"/>
        <v>Pacific Islander</v>
      </c>
      <c r="F486" t="str">
        <f t="shared" ca="1" si="82"/>
        <v>PM</v>
      </c>
      <c r="G486" t="str">
        <f t="shared" ca="1" si="83"/>
        <v>Weekday</v>
      </c>
      <c r="H486" t="str">
        <f t="shared" ca="1" si="84"/>
        <v>Non-Patient</v>
      </c>
      <c r="I486" t="str">
        <f t="shared" ca="1" si="85"/>
        <v>General Practice</v>
      </c>
      <c r="J486">
        <f t="shared" ca="1" si="86"/>
        <v>3</v>
      </c>
      <c r="K486">
        <f t="shared" ca="1" si="87"/>
        <v>33</v>
      </c>
    </row>
    <row r="487" spans="1:11" x14ac:dyDescent="0.3">
      <c r="A487" s="1">
        <f t="shared" ca="1" si="77"/>
        <v>45178</v>
      </c>
      <c r="B487" t="str">
        <f t="shared" si="78"/>
        <v>V0486</v>
      </c>
      <c r="C487" t="str">
        <f t="shared" ca="1" si="79"/>
        <v>Female</v>
      </c>
      <c r="D487">
        <f t="shared" ca="1" si="80"/>
        <v>83</v>
      </c>
      <c r="E487" t="str">
        <f t="shared" ca="1" si="81"/>
        <v>Native American</v>
      </c>
      <c r="F487" t="str">
        <f t="shared" ca="1" si="82"/>
        <v>PM</v>
      </c>
      <c r="G487" t="str">
        <f t="shared" ca="1" si="83"/>
        <v>Weekend</v>
      </c>
      <c r="H487" t="str">
        <f t="shared" ca="1" si="84"/>
        <v>Non-Patient</v>
      </c>
      <c r="I487" t="str">
        <f t="shared" ca="1" si="85"/>
        <v>Neurology</v>
      </c>
      <c r="J487">
        <f t="shared" ca="1" si="86"/>
        <v>2</v>
      </c>
      <c r="K487">
        <f t="shared" ca="1" si="87"/>
        <v>10</v>
      </c>
    </row>
    <row r="488" spans="1:11" x14ac:dyDescent="0.3">
      <c r="A488" s="1">
        <f t="shared" ca="1" si="77"/>
        <v>45041</v>
      </c>
      <c r="B488" t="str">
        <f t="shared" si="78"/>
        <v>V0487</v>
      </c>
      <c r="C488" t="str">
        <f t="shared" ca="1" si="79"/>
        <v>Male</v>
      </c>
      <c r="D488">
        <f t="shared" ca="1" si="80"/>
        <v>84</v>
      </c>
      <c r="E488" t="str">
        <f t="shared" ca="1" si="81"/>
        <v>Native American</v>
      </c>
      <c r="F488" t="str">
        <f t="shared" ca="1" si="82"/>
        <v>AM</v>
      </c>
      <c r="G488" t="str">
        <f t="shared" ca="1" si="83"/>
        <v>Weekday</v>
      </c>
      <c r="H488" t="str">
        <f t="shared" ca="1" si="84"/>
        <v>Patient</v>
      </c>
      <c r="I488" t="str">
        <f t="shared" ca="1" si="85"/>
        <v>Physiotherapy</v>
      </c>
      <c r="J488">
        <f t="shared" ca="1" si="86"/>
        <v>7</v>
      </c>
      <c r="K488">
        <f t="shared" ca="1" si="87"/>
        <v>20</v>
      </c>
    </row>
    <row r="489" spans="1:11" x14ac:dyDescent="0.3">
      <c r="A489" s="1">
        <f t="shared" ca="1" si="77"/>
        <v>45163</v>
      </c>
      <c r="B489" t="str">
        <f t="shared" si="78"/>
        <v>V0488</v>
      </c>
      <c r="C489" t="str">
        <f t="shared" ca="1" si="79"/>
        <v>Male</v>
      </c>
      <c r="D489">
        <f t="shared" ca="1" si="80"/>
        <v>49</v>
      </c>
      <c r="E489" t="str">
        <f t="shared" ca="1" si="81"/>
        <v>African American</v>
      </c>
      <c r="F489" t="str">
        <f t="shared" ca="1" si="82"/>
        <v>PM</v>
      </c>
      <c r="G489" t="str">
        <f t="shared" ca="1" si="83"/>
        <v>Weekday</v>
      </c>
      <c r="H489" t="str">
        <f t="shared" ca="1" si="84"/>
        <v>Patient</v>
      </c>
      <c r="I489" t="str">
        <f t="shared" ca="1" si="85"/>
        <v>Orthopedics</v>
      </c>
      <c r="J489">
        <f t="shared" ca="1" si="86"/>
        <v>2</v>
      </c>
      <c r="K489">
        <f t="shared" ca="1" si="87"/>
        <v>31</v>
      </c>
    </row>
    <row r="490" spans="1:11" x14ac:dyDescent="0.3">
      <c r="A490" s="1">
        <f t="shared" ca="1" si="77"/>
        <v>45142</v>
      </c>
      <c r="B490" t="str">
        <f t="shared" si="78"/>
        <v>V0489</v>
      </c>
      <c r="C490" t="str">
        <f t="shared" ca="1" si="79"/>
        <v>Female</v>
      </c>
      <c r="D490">
        <f t="shared" ca="1" si="80"/>
        <v>71</v>
      </c>
      <c r="E490" t="str">
        <f t="shared" ca="1" si="81"/>
        <v>Native American</v>
      </c>
      <c r="F490" t="str">
        <f t="shared" ca="1" si="82"/>
        <v>AM</v>
      </c>
      <c r="G490" t="str">
        <f t="shared" ca="1" si="83"/>
        <v>Weekday</v>
      </c>
      <c r="H490" t="str">
        <f t="shared" ca="1" si="84"/>
        <v>Non-Patient</v>
      </c>
      <c r="I490" t="str">
        <f t="shared" ca="1" si="85"/>
        <v>Cardiology</v>
      </c>
      <c r="J490">
        <f t="shared" ca="1" si="86"/>
        <v>7</v>
      </c>
      <c r="K490">
        <f t="shared" ca="1" si="87"/>
        <v>56</v>
      </c>
    </row>
    <row r="491" spans="1:11" x14ac:dyDescent="0.3">
      <c r="A491" s="1">
        <f t="shared" ca="1" si="77"/>
        <v>45238</v>
      </c>
      <c r="B491" t="str">
        <f t="shared" si="78"/>
        <v>V0490</v>
      </c>
      <c r="C491" t="str">
        <f t="shared" ca="1" si="79"/>
        <v>Female</v>
      </c>
      <c r="D491">
        <f t="shared" ca="1" si="80"/>
        <v>12</v>
      </c>
      <c r="E491" t="str">
        <f t="shared" ca="1" si="81"/>
        <v>Asian</v>
      </c>
      <c r="F491" t="str">
        <f t="shared" ca="1" si="82"/>
        <v>PM</v>
      </c>
      <c r="G491" t="str">
        <f t="shared" ca="1" si="83"/>
        <v>Weekday</v>
      </c>
      <c r="H491" t="str">
        <f t="shared" ca="1" si="84"/>
        <v>Non-Patient</v>
      </c>
      <c r="I491" t="str">
        <f t="shared" ca="1" si="85"/>
        <v>Physiotherapy</v>
      </c>
      <c r="J491">
        <f t="shared" ca="1" si="86"/>
        <v>5</v>
      </c>
      <c r="K491">
        <f t="shared" ca="1" si="87"/>
        <v>70</v>
      </c>
    </row>
    <row r="492" spans="1:11" x14ac:dyDescent="0.3">
      <c r="A492" s="1">
        <f t="shared" ca="1" si="77"/>
        <v>45127</v>
      </c>
      <c r="B492" t="str">
        <f t="shared" si="78"/>
        <v>V0491</v>
      </c>
      <c r="C492" t="str">
        <f t="shared" ca="1" si="79"/>
        <v>Female</v>
      </c>
      <c r="D492">
        <f t="shared" ca="1" si="80"/>
        <v>77</v>
      </c>
      <c r="E492" t="str">
        <f t="shared" ca="1" si="81"/>
        <v>Asian</v>
      </c>
      <c r="F492" t="str">
        <f t="shared" ca="1" si="82"/>
        <v>PM</v>
      </c>
      <c r="G492" t="str">
        <f t="shared" ca="1" si="83"/>
        <v>Weekday</v>
      </c>
      <c r="H492" t="str">
        <f t="shared" ca="1" si="84"/>
        <v>Non-Patient</v>
      </c>
      <c r="I492" t="str">
        <f t="shared" ca="1" si="85"/>
        <v>Physiotherapy</v>
      </c>
      <c r="J492">
        <f t="shared" ca="1" si="86"/>
        <v>7</v>
      </c>
      <c r="K492">
        <f t="shared" ca="1" si="87"/>
        <v>19</v>
      </c>
    </row>
    <row r="493" spans="1:11" x14ac:dyDescent="0.3">
      <c r="A493" s="1">
        <f t="shared" ca="1" si="77"/>
        <v>44990</v>
      </c>
      <c r="B493" t="str">
        <f t="shared" si="78"/>
        <v>V0492</v>
      </c>
      <c r="C493" t="str">
        <f t="shared" ca="1" si="79"/>
        <v>Male</v>
      </c>
      <c r="D493">
        <f t="shared" ca="1" si="80"/>
        <v>32</v>
      </c>
      <c r="E493" t="str">
        <f t="shared" ca="1" si="81"/>
        <v>Pacific Islander</v>
      </c>
      <c r="F493" t="str">
        <f t="shared" ca="1" si="82"/>
        <v>PM</v>
      </c>
      <c r="G493" t="str">
        <f t="shared" ca="1" si="83"/>
        <v>Weekend</v>
      </c>
      <c r="H493" t="str">
        <f t="shared" ca="1" si="84"/>
        <v>Patient</v>
      </c>
      <c r="I493" t="str">
        <f t="shared" ca="1" si="85"/>
        <v>Neurology</v>
      </c>
      <c r="J493">
        <f t="shared" ca="1" si="86"/>
        <v>9</v>
      </c>
      <c r="K493">
        <f t="shared" ca="1" si="87"/>
        <v>46</v>
      </c>
    </row>
    <row r="494" spans="1:11" x14ac:dyDescent="0.3">
      <c r="A494" s="1">
        <f t="shared" ca="1" si="77"/>
        <v>45078</v>
      </c>
      <c r="B494" t="str">
        <f t="shared" si="78"/>
        <v>V0493</v>
      </c>
      <c r="C494" t="str">
        <f t="shared" ca="1" si="79"/>
        <v>Female</v>
      </c>
      <c r="D494">
        <f t="shared" ca="1" si="80"/>
        <v>13</v>
      </c>
      <c r="E494" t="str">
        <f t="shared" ca="1" si="81"/>
        <v>Native American</v>
      </c>
      <c r="F494" t="str">
        <f t="shared" ca="1" si="82"/>
        <v>PM</v>
      </c>
      <c r="G494" t="str">
        <f t="shared" ca="1" si="83"/>
        <v>Weekday</v>
      </c>
      <c r="H494" t="str">
        <f t="shared" ca="1" si="84"/>
        <v>Non-Patient</v>
      </c>
      <c r="I494" t="str">
        <f t="shared" ca="1" si="85"/>
        <v>Orthopedics</v>
      </c>
      <c r="J494">
        <f t="shared" ca="1" si="86"/>
        <v>3</v>
      </c>
      <c r="K494">
        <f t="shared" ca="1" si="87"/>
        <v>48</v>
      </c>
    </row>
    <row r="495" spans="1:11" x14ac:dyDescent="0.3">
      <c r="A495" s="1">
        <f t="shared" ca="1" si="77"/>
        <v>45063</v>
      </c>
      <c r="B495" t="str">
        <f t="shared" si="78"/>
        <v>V0494</v>
      </c>
      <c r="C495" t="str">
        <f t="shared" ca="1" si="79"/>
        <v>Female</v>
      </c>
      <c r="D495">
        <f t="shared" ca="1" si="80"/>
        <v>23</v>
      </c>
      <c r="E495" t="str">
        <f t="shared" ca="1" si="81"/>
        <v>Pacific Islander</v>
      </c>
      <c r="F495" t="str">
        <f t="shared" ca="1" si="82"/>
        <v>AM</v>
      </c>
      <c r="G495" t="str">
        <f t="shared" ca="1" si="83"/>
        <v>Weekday</v>
      </c>
      <c r="H495" t="str">
        <f t="shared" ca="1" si="84"/>
        <v>Non-Patient</v>
      </c>
      <c r="I495" t="str">
        <f t="shared" ca="1" si="85"/>
        <v>General Practice</v>
      </c>
      <c r="J495">
        <f t="shared" ca="1" si="86"/>
        <v>9</v>
      </c>
      <c r="K495">
        <f t="shared" ca="1" si="87"/>
        <v>77</v>
      </c>
    </row>
    <row r="496" spans="1:11" x14ac:dyDescent="0.3">
      <c r="A496" s="1">
        <f t="shared" ca="1" si="77"/>
        <v>44930</v>
      </c>
      <c r="B496" t="str">
        <f t="shared" si="78"/>
        <v>V0495</v>
      </c>
      <c r="C496" t="str">
        <f t="shared" ca="1" si="79"/>
        <v>Male</v>
      </c>
      <c r="D496">
        <f t="shared" ca="1" si="80"/>
        <v>83</v>
      </c>
      <c r="E496" t="str">
        <f t="shared" ca="1" si="81"/>
        <v>Native American</v>
      </c>
      <c r="F496" t="str">
        <f t="shared" ca="1" si="82"/>
        <v>PM</v>
      </c>
      <c r="G496" t="str">
        <f t="shared" ca="1" si="83"/>
        <v>Weekday</v>
      </c>
      <c r="H496" t="str">
        <f t="shared" ca="1" si="84"/>
        <v>Non-Patient</v>
      </c>
      <c r="I496" t="str">
        <f t="shared" ca="1" si="85"/>
        <v>Cardiology</v>
      </c>
      <c r="J496">
        <f t="shared" ca="1" si="86"/>
        <v>3</v>
      </c>
      <c r="K496">
        <f t="shared" ca="1" si="87"/>
        <v>37</v>
      </c>
    </row>
    <row r="497" spans="1:11" x14ac:dyDescent="0.3">
      <c r="A497" s="1">
        <f t="shared" ca="1" si="77"/>
        <v>45185</v>
      </c>
      <c r="B497" t="str">
        <f t="shared" si="78"/>
        <v>V0496</v>
      </c>
      <c r="C497" t="str">
        <f t="shared" ca="1" si="79"/>
        <v>Female</v>
      </c>
      <c r="D497">
        <f t="shared" ca="1" si="80"/>
        <v>25</v>
      </c>
      <c r="E497" t="str">
        <f t="shared" ca="1" si="81"/>
        <v>Pacific Islander</v>
      </c>
      <c r="F497" t="str">
        <f t="shared" ca="1" si="82"/>
        <v>AM</v>
      </c>
      <c r="G497" t="str">
        <f t="shared" ca="1" si="83"/>
        <v>Weekend</v>
      </c>
      <c r="H497" t="str">
        <f t="shared" ca="1" si="84"/>
        <v>Non-Patient</v>
      </c>
      <c r="I497" t="str">
        <f t="shared" ca="1" si="85"/>
        <v>Cardiology</v>
      </c>
      <c r="J497">
        <f t="shared" ca="1" si="86"/>
        <v>4</v>
      </c>
      <c r="K497">
        <f t="shared" ca="1" si="87"/>
        <v>60</v>
      </c>
    </row>
    <row r="498" spans="1:11" x14ac:dyDescent="0.3">
      <c r="A498" s="1">
        <f t="shared" ca="1" si="77"/>
        <v>45085</v>
      </c>
      <c r="B498" t="str">
        <f t="shared" si="78"/>
        <v>V0497</v>
      </c>
      <c r="C498" t="str">
        <f t="shared" ca="1" si="79"/>
        <v>Female</v>
      </c>
      <c r="D498">
        <f t="shared" ca="1" si="80"/>
        <v>78</v>
      </c>
      <c r="E498" t="str">
        <f t="shared" ca="1" si="81"/>
        <v>White</v>
      </c>
      <c r="F498" t="str">
        <f t="shared" ca="1" si="82"/>
        <v>AM</v>
      </c>
      <c r="G498" t="str">
        <f t="shared" ca="1" si="83"/>
        <v>Weekday</v>
      </c>
      <c r="H498" t="str">
        <f t="shared" ca="1" si="84"/>
        <v>Patient</v>
      </c>
      <c r="I498" t="str">
        <f t="shared" ca="1" si="85"/>
        <v>Cardiology</v>
      </c>
      <c r="J498">
        <f t="shared" ca="1" si="86"/>
        <v>7</v>
      </c>
      <c r="K498">
        <f t="shared" ca="1" si="87"/>
        <v>55</v>
      </c>
    </row>
    <row r="499" spans="1:11" x14ac:dyDescent="0.3">
      <c r="A499" s="1">
        <f t="shared" ca="1" si="77"/>
        <v>45179</v>
      </c>
      <c r="B499" t="str">
        <f t="shared" si="78"/>
        <v>V0498</v>
      </c>
      <c r="C499" t="str">
        <f t="shared" ca="1" si="79"/>
        <v>Male</v>
      </c>
      <c r="D499">
        <f t="shared" ca="1" si="80"/>
        <v>32</v>
      </c>
      <c r="E499" t="str">
        <f t="shared" ca="1" si="81"/>
        <v>Pacific Islander</v>
      </c>
      <c r="F499" t="str">
        <f t="shared" ca="1" si="82"/>
        <v>PM</v>
      </c>
      <c r="G499" t="str">
        <f t="shared" ca="1" si="83"/>
        <v>Weekend</v>
      </c>
      <c r="H499" t="str">
        <f t="shared" ca="1" si="84"/>
        <v>Non-Patient</v>
      </c>
      <c r="I499" t="str">
        <f t="shared" ca="1" si="85"/>
        <v>Neurology</v>
      </c>
      <c r="J499">
        <f t="shared" ca="1" si="86"/>
        <v>6</v>
      </c>
      <c r="K499">
        <f t="shared" ca="1" si="87"/>
        <v>25</v>
      </c>
    </row>
    <row r="500" spans="1:11" x14ac:dyDescent="0.3">
      <c r="A500" s="1">
        <f t="shared" ca="1" si="77"/>
        <v>45026</v>
      </c>
      <c r="B500" t="str">
        <f t="shared" si="78"/>
        <v>V0499</v>
      </c>
      <c r="C500" t="str">
        <f t="shared" ca="1" si="79"/>
        <v>Female</v>
      </c>
      <c r="D500">
        <f t="shared" ca="1" si="80"/>
        <v>35</v>
      </c>
      <c r="E500" t="str">
        <f t="shared" ca="1" si="81"/>
        <v>African American</v>
      </c>
      <c r="F500" t="str">
        <f t="shared" ca="1" si="82"/>
        <v>AM</v>
      </c>
      <c r="G500" t="str">
        <f t="shared" ca="1" si="83"/>
        <v>Weekday</v>
      </c>
      <c r="H500" t="str">
        <f t="shared" ca="1" si="84"/>
        <v>Non-Patient</v>
      </c>
      <c r="I500" t="str">
        <f t="shared" ca="1" si="85"/>
        <v>Cardiology</v>
      </c>
      <c r="J500">
        <f t="shared" ca="1" si="86"/>
        <v>10</v>
      </c>
      <c r="K500">
        <f t="shared" ca="1" si="87"/>
        <v>58</v>
      </c>
    </row>
    <row r="501" spans="1:11" x14ac:dyDescent="0.3">
      <c r="A501" s="1">
        <f t="shared" ca="1" si="77"/>
        <v>44935</v>
      </c>
      <c r="B501" t="str">
        <f t="shared" si="78"/>
        <v>V0500</v>
      </c>
      <c r="C501" t="str">
        <f t="shared" ca="1" si="79"/>
        <v>Female</v>
      </c>
      <c r="D501">
        <f t="shared" ca="1" si="80"/>
        <v>46</v>
      </c>
      <c r="E501" t="str">
        <f t="shared" ca="1" si="81"/>
        <v>Asian</v>
      </c>
      <c r="F501" t="str">
        <f t="shared" ca="1" si="82"/>
        <v>PM</v>
      </c>
      <c r="G501" t="str">
        <f t="shared" ca="1" si="83"/>
        <v>Weekday</v>
      </c>
      <c r="H501" t="str">
        <f t="shared" ca="1" si="84"/>
        <v>Patient</v>
      </c>
      <c r="I501" t="str">
        <f t="shared" ca="1" si="85"/>
        <v>Physiotherapy</v>
      </c>
      <c r="J501">
        <f t="shared" ca="1" si="86"/>
        <v>5</v>
      </c>
      <c r="K501">
        <f t="shared" ca="1" si="87"/>
        <v>89</v>
      </c>
    </row>
    <row r="502" spans="1:11" x14ac:dyDescent="0.3">
      <c r="A502" s="1">
        <f t="shared" ca="1" si="77"/>
        <v>44928</v>
      </c>
      <c r="B502" t="str">
        <f t="shared" si="78"/>
        <v>V0501</v>
      </c>
      <c r="C502" t="str">
        <f t="shared" ca="1" si="79"/>
        <v>Male</v>
      </c>
      <c r="D502">
        <f t="shared" ca="1" si="80"/>
        <v>75</v>
      </c>
      <c r="E502" t="str">
        <f t="shared" ca="1" si="81"/>
        <v>Asian</v>
      </c>
      <c r="F502" t="str">
        <f t="shared" ca="1" si="82"/>
        <v>PM</v>
      </c>
      <c r="G502" t="str">
        <f t="shared" ca="1" si="83"/>
        <v>Weekday</v>
      </c>
      <c r="H502" t="str">
        <f t="shared" ca="1" si="84"/>
        <v>Non-Patient</v>
      </c>
      <c r="I502" t="str">
        <f t="shared" ca="1" si="85"/>
        <v>Cardiology</v>
      </c>
      <c r="J502">
        <f t="shared" ca="1" si="86"/>
        <v>4</v>
      </c>
      <c r="K502">
        <f t="shared" ca="1" si="87"/>
        <v>38</v>
      </c>
    </row>
    <row r="503" spans="1:11" x14ac:dyDescent="0.3">
      <c r="A503" s="1">
        <f t="shared" ca="1" si="77"/>
        <v>44987</v>
      </c>
      <c r="B503" t="str">
        <f t="shared" si="78"/>
        <v>V0502</v>
      </c>
      <c r="C503" t="str">
        <f t="shared" ca="1" si="79"/>
        <v>Male</v>
      </c>
      <c r="D503">
        <f t="shared" ca="1" si="80"/>
        <v>37</v>
      </c>
      <c r="E503" t="str">
        <f t="shared" ca="1" si="81"/>
        <v>African American</v>
      </c>
      <c r="F503" t="str">
        <f t="shared" ca="1" si="82"/>
        <v>AM</v>
      </c>
      <c r="G503" t="str">
        <f t="shared" ca="1" si="83"/>
        <v>Weekday</v>
      </c>
      <c r="H503" t="str">
        <f t="shared" ca="1" si="84"/>
        <v>Non-Patient</v>
      </c>
      <c r="I503" t="str">
        <f t="shared" ca="1" si="85"/>
        <v>General Practice</v>
      </c>
      <c r="J503">
        <f t="shared" ca="1" si="86"/>
        <v>3</v>
      </c>
      <c r="K503">
        <f t="shared" ca="1" si="87"/>
        <v>66</v>
      </c>
    </row>
    <row r="504" spans="1:11" x14ac:dyDescent="0.3">
      <c r="A504" s="1">
        <f t="shared" ca="1" si="77"/>
        <v>44969</v>
      </c>
      <c r="B504" t="str">
        <f t="shared" si="78"/>
        <v>V0503</v>
      </c>
      <c r="C504" t="str">
        <f t="shared" ca="1" si="79"/>
        <v>Female</v>
      </c>
      <c r="D504">
        <f t="shared" ca="1" si="80"/>
        <v>37</v>
      </c>
      <c r="E504" t="str">
        <f t="shared" ca="1" si="81"/>
        <v>Native American</v>
      </c>
      <c r="F504" t="str">
        <f t="shared" ca="1" si="82"/>
        <v>PM</v>
      </c>
      <c r="G504" t="str">
        <f t="shared" ca="1" si="83"/>
        <v>Weekend</v>
      </c>
      <c r="H504" t="str">
        <f t="shared" ca="1" si="84"/>
        <v>Non-Patient</v>
      </c>
      <c r="I504" t="str">
        <f t="shared" ca="1" si="85"/>
        <v>General Practice</v>
      </c>
      <c r="J504">
        <f t="shared" ca="1" si="86"/>
        <v>1</v>
      </c>
      <c r="K504">
        <f t="shared" ca="1" si="87"/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2026-02-14T11:35:05Z</dcterms:created>
  <dcterms:modified xsi:type="dcterms:W3CDTF">2026-02-15T07:01:34Z</dcterms:modified>
</cp:coreProperties>
</file>